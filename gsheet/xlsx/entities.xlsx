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<sst xmlns="http://schemas.openxmlformats.org/spreadsheetml/2006/main" count="2547" uniqueCount="1988">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</sst>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36" Type="http://schemas.openxmlformats.org/officeDocument/2006/relationships/hyperlink" Target="https://de.wikipedia.org/wiki/Aaron_(biblische_Person)" TargetMode="External"/><Relationship Id="rId175" Type="http://schemas.openxmlformats.org/officeDocument/2006/relationships/table" Target="../tables/table1.xml"/><Relationship Id="rId39" Type="http://schemas.openxmlformats.org/officeDocument/2006/relationships/hyperlink" Target="https://de.wikipedia.org/wiki/Adam_und_Eva" TargetMode="Externa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drawing" Target="../drawings/drawing1.xm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102360?main_person=I292993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www.hfls.ch/humo-gen/family/1/F87624?main_person=I255356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doi.org/10.3931/e-rara-2450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Johann_Jakob_Breitinger_(Antistes)" TargetMode="External"/><Relationship Id="rId142" Type="http://schemas.openxmlformats.org/officeDocument/2006/relationships/hyperlink" Target="https://de.wikipedia.org/wiki/Rudolf_Gwalther" TargetMode="External"/><Relationship Id="rId141" Type="http://schemas.openxmlformats.org/officeDocument/2006/relationships/hyperlink" Target="https://hls-dhs-dss.ch/de/articles/010443/2011-04-07/" TargetMode="External"/><Relationship Id="rId140" Type="http://schemas.openxmlformats.org/officeDocument/2006/relationships/hyperlink" Target="https://hls-dhs-dss.ch/de/articles/010447/2014-03-04/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5643?main_person=I303467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56270?main_person=I308929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104436?main_person=I299208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Irminger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5950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www.e-manuscripta.ch/name/view/2589642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ota.bodleian.ox.ac.uk/repository/xmlui/handle/20.500.12024/A14861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hls-dhs-dss.ch/de/articles/019950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de.wikipedia.org/wiki/Maria_Magdalena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hls-dhs-dss.ch/de/articles/023963" TargetMode="External"/><Relationship Id="rId163" Type="http://schemas.openxmlformats.org/officeDocument/2006/relationships/hyperlink" Target="https://de.wikipedia.org/wiki/Simeon_(Prophet)" TargetMode="External"/><Relationship Id="rId162" Type="http://schemas.openxmlformats.org/officeDocument/2006/relationships/hyperlink" Target="https://www.hfls.ch/humo-gen/family/1/F106407?main_person=I305724" TargetMode="External"/><Relationship Id="rId169" Type="http://schemas.openxmlformats.org/officeDocument/2006/relationships/hyperlink" Target="https://doi.org/10.3931/e-rara-24507" TargetMode="External"/><Relationship Id="rId168" Type="http://schemas.openxmlformats.org/officeDocument/2006/relationships/hyperlink" Target="https://www.hfls.ch/humo-gen/family/1/F104223?main_person=I298580" TargetMode="External"/><Relationship Id="rId167" Type="http://schemas.openxmlformats.org/officeDocument/2006/relationships/hyperlink" Target="https://de.wikipedia.org/wiki/Eos_(Mythologie)" TargetMode="External"/><Relationship Id="rId166" Type="http://schemas.openxmlformats.org/officeDocument/2006/relationships/hyperlink" Target="https://de.wikipedia.org/wiki/Merib-Baal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5238?main_person=I301701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fls.ch/humo-gen/birthday_family/1/F108093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hls-dhs-dss.ch/de/articles/015794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de.wikipedia.org/wiki/Momos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hls-dhs-dss.ch/de/articles/010844/2011-05-20/" TargetMode="External"/><Relationship Id="rId152" Type="http://schemas.openxmlformats.org/officeDocument/2006/relationships/hyperlink" Target="https://de.wikipedia.org/wiki/John_Dury" TargetMode="External"/><Relationship Id="rId151" Type="http://schemas.openxmlformats.org/officeDocument/2006/relationships/hyperlink" Target="https://de.wikipedia.org/wiki/Karl_I._Ludwig_(Pfalz)" TargetMode="External"/><Relationship Id="rId158" Type="http://schemas.openxmlformats.org/officeDocument/2006/relationships/hyperlink" Target="https://de.wikipedia.org/wiki/Israeliten" TargetMode="External"/><Relationship Id="rId157" Type="http://schemas.openxmlformats.org/officeDocument/2006/relationships/hyperlink" Target="https://de.wikipedia.org/wiki/Agapetos" TargetMode="External"/><Relationship Id="rId156" Type="http://schemas.openxmlformats.org/officeDocument/2006/relationships/hyperlink" Target="https://www.e-rara.ch/zuz/doi/10.3931/e-rara-12380" TargetMode="External"/><Relationship Id="rId155" Type="http://schemas.openxmlformats.org/officeDocument/2006/relationships/hyperlink" Target="http://www.hfls.ch/humo-gen/family/1/F104225?main_person=I29857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8">
        <v>14609.0</v>
      </c>
      <c r="F71" s="18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5"/>
      <c r="J127" s="9"/>
      <c r="K127" s="9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9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9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0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1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2">
        <v>1583.0</v>
      </c>
      <c r="F162" s="22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3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4"/>
      <c r="F172" s="25"/>
      <c r="G172" s="9"/>
      <c r="H172" s="19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6" t="s">
        <v>839</v>
      </c>
      <c r="D173" s="3"/>
      <c r="E173" s="24"/>
      <c r="F173" s="25"/>
      <c r="G173" s="9"/>
      <c r="H173" s="3" t="s">
        <v>840</v>
      </c>
      <c r="I173" s="26"/>
      <c r="J173" s="9"/>
      <c r="K173" s="9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4"/>
      <c r="F174" s="25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4"/>
      <c r="F176" s="25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4"/>
      <c r="F177" s="25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4"/>
      <c r="F178" s="25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4"/>
      <c r="F179" s="25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4"/>
      <c r="F180" s="25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4"/>
      <c r="F181" s="25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4"/>
      <c r="F182" s="25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4"/>
      <c r="F183" s="25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4"/>
      <c r="F184" s="25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4"/>
      <c r="F185" s="25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4"/>
      <c r="F186" s="25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2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27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28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1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1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Christoph (1628-1708)</v>
      </c>
      <c r="C208" s="6" t="s">
        <v>653</v>
      </c>
      <c r="D208" s="3" t="s">
        <v>1003</v>
      </c>
      <c r="E208" s="5">
        <v>1628.0</v>
      </c>
      <c r="F208" s="5">
        <v>1708.0</v>
      </c>
      <c r="G208" s="9"/>
      <c r="H208" s="3" t="s">
        <v>1004</v>
      </c>
      <c r="I208" s="7" t="s">
        <v>16</v>
      </c>
      <c r="J208" s="8" t="s">
        <v>1005</v>
      </c>
      <c r="K208" s="11" t="s">
        <v>1006</v>
      </c>
    </row>
    <row r="209" ht="22.5" customHeight="1">
      <c r="A209" s="3" t="s">
        <v>1007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1008</v>
      </c>
      <c r="H209" s="3" t="s">
        <v>1009</v>
      </c>
      <c r="I209" s="7" t="s">
        <v>16</v>
      </c>
      <c r="J209" s="9"/>
      <c r="K209" s="9"/>
    </row>
    <row r="210" ht="22.5" customHeight="1">
      <c r="A210" s="3" t="s">
        <v>1010</v>
      </c>
      <c r="B210" s="4" t="str">
        <f t="shared" si="1"/>
        <v>Oeri,  (-)</v>
      </c>
      <c r="C210" s="6" t="s">
        <v>1011</v>
      </c>
      <c r="D210" s="3"/>
      <c r="E210" s="24"/>
      <c r="F210" s="25"/>
      <c r="G210" s="9"/>
      <c r="H210" s="3" t="s">
        <v>1012</v>
      </c>
      <c r="I210" s="7" t="s">
        <v>16</v>
      </c>
      <c r="J210" s="9"/>
      <c r="K210" s="9"/>
    </row>
    <row r="211" ht="22.5" customHeight="1">
      <c r="A211" s="3" t="s">
        <v>1013</v>
      </c>
      <c r="B211" s="4" t="str">
        <f t="shared" si="1"/>
        <v>Keller vom Steinbock‏, Anna Kleophea (‎1609-1673)</v>
      </c>
      <c r="C211" s="6" t="s">
        <v>1014</v>
      </c>
      <c r="D211" s="3" t="s">
        <v>1015</v>
      </c>
      <c r="E211" s="10" t="s">
        <v>1016</v>
      </c>
      <c r="F211" s="5">
        <v>1673.0</v>
      </c>
      <c r="G211" s="9"/>
      <c r="H211" s="3" t="s">
        <v>1017</v>
      </c>
      <c r="I211" s="7" t="s">
        <v>16</v>
      </c>
      <c r="J211" s="12" t="s">
        <v>1018</v>
      </c>
      <c r="K211" s="9"/>
    </row>
    <row r="212" ht="22.5" customHeight="1">
      <c r="A212" s="3" t="s">
        <v>1019</v>
      </c>
      <c r="B212" s="4" t="str">
        <f t="shared" si="1"/>
        <v>von Sultz, Johann Ludwig II. (1626-1687)</v>
      </c>
      <c r="C212" s="6" t="s">
        <v>1020</v>
      </c>
      <c r="D212" s="3" t="s">
        <v>1021</v>
      </c>
      <c r="E212" s="5">
        <v>1626.0</v>
      </c>
      <c r="F212" s="5">
        <v>1687.0</v>
      </c>
      <c r="G212" s="3" t="s">
        <v>1022</v>
      </c>
      <c r="H212" s="3" t="s">
        <v>1023</v>
      </c>
      <c r="I212" s="7" t="s">
        <v>16</v>
      </c>
      <c r="J212" s="12" t="s">
        <v>1024</v>
      </c>
      <c r="K212" s="9"/>
    </row>
    <row r="213" ht="22.5" customHeight="1">
      <c r="A213" s="3" t="s">
        <v>1025</v>
      </c>
      <c r="B213" s="4" t="str">
        <f t="shared" si="1"/>
        <v>Egli, Samuel (1627/29-1666)</v>
      </c>
      <c r="C213" s="6" t="s">
        <v>1026</v>
      </c>
      <c r="D213" s="3" t="s">
        <v>1027</v>
      </c>
      <c r="E213" s="10" t="s">
        <v>1028</v>
      </c>
      <c r="F213" s="5">
        <v>1666.0</v>
      </c>
      <c r="G213" s="9"/>
      <c r="H213" s="3" t="s">
        <v>1029</v>
      </c>
      <c r="I213" s="7" t="s">
        <v>16</v>
      </c>
      <c r="J213" s="8" t="s">
        <v>1030</v>
      </c>
      <c r="K213" s="9"/>
    </row>
    <row r="214" ht="22.5" customHeight="1">
      <c r="A214" s="3" t="s">
        <v>1031</v>
      </c>
      <c r="B214" s="4" t="str">
        <f t="shared" si="1"/>
        <v>von Breitenlandenberg, Wildhans (1410-1444)</v>
      </c>
      <c r="C214" s="6" t="s">
        <v>1032</v>
      </c>
      <c r="D214" s="3" t="s">
        <v>1033</v>
      </c>
      <c r="E214" s="5">
        <v>1410.0</v>
      </c>
      <c r="F214" s="5">
        <v>1444.0</v>
      </c>
      <c r="G214" s="9"/>
      <c r="H214" s="3" t="s">
        <v>1034</v>
      </c>
      <c r="I214" s="7" t="s">
        <v>16</v>
      </c>
      <c r="J214" s="8" t="s">
        <v>1035</v>
      </c>
      <c r="K214" s="9"/>
    </row>
    <row r="215" ht="22.5" customHeight="1">
      <c r="A215" s="3" t="s">
        <v>1036</v>
      </c>
      <c r="B215" s="4" t="str">
        <f t="shared" si="1"/>
        <v>Pfarrherr,  (-)</v>
      </c>
      <c r="C215" s="19" t="s">
        <v>1037</v>
      </c>
      <c r="D215" s="19"/>
      <c r="E215" s="29"/>
      <c r="F215" s="30"/>
      <c r="G215" s="31"/>
      <c r="H215" s="19"/>
      <c r="I215" s="32" t="s">
        <v>16</v>
      </c>
      <c r="J215" s="31"/>
      <c r="K215" s="31"/>
    </row>
    <row r="216" ht="22.5" customHeight="1">
      <c r="A216" s="3" t="s">
        <v>1038</v>
      </c>
      <c r="B216" s="4" t="str">
        <f t="shared" si="1"/>
        <v>Schmid von Schwarzenhorn, Johann Rudolf (1590-1667)</v>
      </c>
      <c r="C216" s="6" t="s">
        <v>1039</v>
      </c>
      <c r="D216" s="3" t="s">
        <v>895</v>
      </c>
      <c r="E216" s="5">
        <v>1590.0</v>
      </c>
      <c r="F216" s="5">
        <v>1667.0</v>
      </c>
      <c r="G216" s="3" t="s">
        <v>1040</v>
      </c>
      <c r="H216" s="3" t="s">
        <v>1041</v>
      </c>
      <c r="I216" s="7" t="s">
        <v>16</v>
      </c>
      <c r="J216" s="12" t="s">
        <v>1042</v>
      </c>
      <c r="K216" s="9"/>
    </row>
    <row r="217" ht="22.5" customHeight="1">
      <c r="A217" s="3" t="s">
        <v>1043</v>
      </c>
      <c r="B217" s="4" t="str">
        <f t="shared" si="1"/>
        <v>Schmid, Felix (‎1539-1597)</v>
      </c>
      <c r="C217" s="6" t="s">
        <v>1044</v>
      </c>
      <c r="D217" s="3" t="s">
        <v>90</v>
      </c>
      <c r="E217" s="10" t="s">
        <v>1045</v>
      </c>
      <c r="F217" s="5">
        <v>1597.0</v>
      </c>
      <c r="G217" s="9"/>
      <c r="H217" s="3" t="s">
        <v>1046</v>
      </c>
      <c r="I217" s="7" t="s">
        <v>16</v>
      </c>
      <c r="J217" s="8" t="s">
        <v>1047</v>
      </c>
      <c r="K217" s="9"/>
    </row>
    <row r="218" ht="22.5" customHeight="1">
      <c r="A218" s="3" t="s">
        <v>1048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1049</v>
      </c>
      <c r="I218" s="7" t="s">
        <v>16</v>
      </c>
      <c r="J218" s="12" t="s">
        <v>1050</v>
      </c>
      <c r="K218" s="9"/>
    </row>
    <row r="219" ht="22.5" customHeight="1">
      <c r="A219" s="3" t="s">
        <v>1051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1052</v>
      </c>
      <c r="I219" s="7" t="s">
        <v>16</v>
      </c>
      <c r="J219" s="3" t="s">
        <v>1053</v>
      </c>
      <c r="K219" s="9"/>
    </row>
    <row r="220" ht="22.5" customHeight="1">
      <c r="A220" s="3" t="s">
        <v>1054</v>
      </c>
      <c r="B220" s="4" t="str">
        <f t="shared" si="1"/>
        <v>Müller, Johann Leonhard (1627-1674)</v>
      </c>
      <c r="C220" s="6" t="s">
        <v>62</v>
      </c>
      <c r="D220" s="3" t="s">
        <v>1055</v>
      </c>
      <c r="E220" s="5">
        <v>1627.0</v>
      </c>
      <c r="F220" s="5">
        <v>1674.0</v>
      </c>
      <c r="G220" s="3" t="s">
        <v>1056</v>
      </c>
      <c r="H220" s="3" t="s">
        <v>1057</v>
      </c>
      <c r="I220" s="7" t="s">
        <v>16</v>
      </c>
      <c r="J220" s="8" t="s">
        <v>1058</v>
      </c>
      <c r="K220" s="9"/>
    </row>
    <row r="221" ht="22.5" customHeight="1">
      <c r="A221" s="3" t="s">
        <v>1059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2">
        <v>1594.0</v>
      </c>
      <c r="F221" s="22">
        <v>1666.0</v>
      </c>
      <c r="G221" s="6" t="s">
        <v>1060</v>
      </c>
      <c r="H221" s="3" t="s">
        <v>1061</v>
      </c>
      <c r="I221" s="7" t="s">
        <v>16</v>
      </c>
      <c r="J221" s="12" t="s">
        <v>1062</v>
      </c>
      <c r="K221" s="9"/>
    </row>
    <row r="222" ht="22.5" customHeight="1">
      <c r="A222" s="3" t="s">
        <v>1063</v>
      </c>
      <c r="B222" s="4" t="str">
        <f t="shared" si="1"/>
        <v>Locher, Hans Melchior (-)</v>
      </c>
      <c r="C222" s="6" t="s">
        <v>1064</v>
      </c>
      <c r="D222" s="3" t="s">
        <v>1065</v>
      </c>
      <c r="E222" s="24"/>
      <c r="F222" s="25"/>
      <c r="G222" s="9"/>
      <c r="H222" s="3" t="s">
        <v>1066</v>
      </c>
      <c r="I222" s="7" t="s">
        <v>16</v>
      </c>
      <c r="J222" s="8" t="s">
        <v>1067</v>
      </c>
      <c r="K222" s="3" t="s">
        <v>1068</v>
      </c>
    </row>
    <row r="223" ht="22.5" customHeight="1">
      <c r="A223" s="3" t="s">
        <v>1069</v>
      </c>
      <c r="B223" s="4" t="str">
        <f t="shared" si="1"/>
        <v>Caspar,  (-)</v>
      </c>
      <c r="C223" s="6" t="s">
        <v>809</v>
      </c>
      <c r="D223" s="3"/>
      <c r="E223" s="24"/>
      <c r="F223" s="25"/>
      <c r="G223" s="6" t="s">
        <v>1070</v>
      </c>
      <c r="H223" s="3" t="s">
        <v>1071</v>
      </c>
      <c r="I223" s="7" t="s">
        <v>259</v>
      </c>
      <c r="J223" s="9"/>
      <c r="K223" s="9"/>
    </row>
    <row r="224" ht="22.5" customHeight="1">
      <c r="A224" s="3" t="s">
        <v>1072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1073</v>
      </c>
      <c r="I224" s="7" t="s">
        <v>16</v>
      </c>
      <c r="J224" s="12" t="s">
        <v>74</v>
      </c>
      <c r="K224" s="9"/>
    </row>
    <row r="225" ht="22.5" customHeight="1">
      <c r="A225" s="3" t="s">
        <v>1074</v>
      </c>
      <c r="B225" s="4" t="str">
        <f t="shared" si="1"/>
        <v>Heinrich,  (-)</v>
      </c>
      <c r="C225" s="6" t="s">
        <v>38</v>
      </c>
      <c r="D225" s="3"/>
      <c r="E225" s="24"/>
      <c r="F225" s="25"/>
      <c r="G225" s="9"/>
      <c r="H225" s="3" t="s">
        <v>1075</v>
      </c>
      <c r="I225" s="7" t="s">
        <v>16</v>
      </c>
      <c r="J225" s="9"/>
      <c r="K225" s="9"/>
    </row>
    <row r="226" ht="22.5" customHeight="1">
      <c r="A226" s="3" t="s">
        <v>1076</v>
      </c>
      <c r="B226" s="4" t="str">
        <f t="shared" si="1"/>
        <v>O., Jacob U. (-)</v>
      </c>
      <c r="C226" s="6" t="s">
        <v>1077</v>
      </c>
      <c r="D226" s="3" t="s">
        <v>1078</v>
      </c>
      <c r="E226" s="24"/>
      <c r="F226" s="25"/>
      <c r="G226" s="9"/>
      <c r="H226" s="3" t="s">
        <v>1079</v>
      </c>
      <c r="I226" s="7" t="s">
        <v>16</v>
      </c>
      <c r="J226" s="9"/>
      <c r="K226" s="9"/>
    </row>
    <row r="227" ht="22.5" customHeight="1">
      <c r="A227" s="3" t="s">
        <v>1080</v>
      </c>
      <c r="B227" s="4" t="str">
        <f t="shared" si="1"/>
        <v>Schneeberger, Hans Georg (1633-1667)</v>
      </c>
      <c r="C227" s="6" t="s">
        <v>1081</v>
      </c>
      <c r="D227" s="3" t="s">
        <v>1082</v>
      </c>
      <c r="E227" s="22">
        <v>1633.0</v>
      </c>
      <c r="F227" s="22">
        <v>1667.0</v>
      </c>
      <c r="G227" s="3" t="s">
        <v>1083</v>
      </c>
      <c r="H227" s="3" t="s">
        <v>1084</v>
      </c>
      <c r="I227" s="7" t="s">
        <v>16</v>
      </c>
      <c r="J227" s="8" t="s">
        <v>1085</v>
      </c>
      <c r="K227" s="9"/>
    </row>
    <row r="228" ht="22.5" customHeight="1">
      <c r="A228" s="3" t="s">
        <v>1086</v>
      </c>
      <c r="B228" s="4" t="str">
        <f t="shared" si="1"/>
        <v>Zwingli, Huldrych (1484-1531)</v>
      </c>
      <c r="C228" s="6" t="s">
        <v>1087</v>
      </c>
      <c r="D228" s="3" t="s">
        <v>1088</v>
      </c>
      <c r="E228" s="5">
        <v>1484.0</v>
      </c>
      <c r="F228" s="5">
        <v>1531.0</v>
      </c>
      <c r="G228" s="3" t="s">
        <v>1089</v>
      </c>
      <c r="H228" s="3" t="s">
        <v>1090</v>
      </c>
      <c r="I228" s="7" t="s">
        <v>16</v>
      </c>
      <c r="J228" s="8" t="s">
        <v>1091</v>
      </c>
      <c r="K228" s="9"/>
    </row>
    <row r="229" ht="22.5" customHeight="1">
      <c r="A229" s="3" t="s">
        <v>1092</v>
      </c>
      <c r="B229" s="4" t="str">
        <f t="shared" si="1"/>
        <v>Bullinger, Heinrich (1504-1575)</v>
      </c>
      <c r="C229" s="6" t="s">
        <v>1093</v>
      </c>
      <c r="D229" s="3" t="s">
        <v>38</v>
      </c>
      <c r="E229" s="5">
        <v>1504.0</v>
      </c>
      <c r="F229" s="5">
        <v>1575.0</v>
      </c>
      <c r="G229" s="3" t="s">
        <v>1094</v>
      </c>
      <c r="H229" s="3" t="s">
        <v>1095</v>
      </c>
      <c r="I229" s="7" t="s">
        <v>16</v>
      </c>
      <c r="J229" s="8" t="s">
        <v>1096</v>
      </c>
      <c r="K229" s="9"/>
    </row>
    <row r="230" ht="22.5" customHeight="1">
      <c r="A230" s="3" t="s">
        <v>1097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9" t="s">
        <v>1098</v>
      </c>
      <c r="I230" s="7" t="s">
        <v>16</v>
      </c>
      <c r="J230" s="8" t="s">
        <v>1099</v>
      </c>
      <c r="K230" s="9"/>
    </row>
    <row r="231" ht="22.5" customHeight="1">
      <c r="A231" s="3" t="s">
        <v>1100</v>
      </c>
      <c r="B231" s="4" t="str">
        <f t="shared" si="1"/>
        <v>Breitinger, Johann Jakob (1575-1645)</v>
      </c>
      <c r="C231" s="6" t="s">
        <v>1101</v>
      </c>
      <c r="D231" s="3" t="s">
        <v>32</v>
      </c>
      <c r="E231" s="5">
        <v>1575.0</v>
      </c>
      <c r="F231" s="5">
        <v>1645.0</v>
      </c>
      <c r="G231" s="3" t="s">
        <v>1102</v>
      </c>
      <c r="H231" s="3" t="s">
        <v>1103</v>
      </c>
      <c r="I231" s="7" t="s">
        <v>16</v>
      </c>
      <c r="J231" s="8" t="s">
        <v>1104</v>
      </c>
      <c r="K231" s="9"/>
    </row>
    <row r="232" ht="22.5" customHeight="1">
      <c r="A232" s="3" t="s">
        <v>1105</v>
      </c>
      <c r="B232" s="4" t="str">
        <f t="shared" si="1"/>
        <v>Irminger, Johann Jakob (1588-1649)</v>
      </c>
      <c r="C232" s="6" t="s">
        <v>1106</v>
      </c>
      <c r="D232" s="3" t="s">
        <v>32</v>
      </c>
      <c r="E232" s="5">
        <v>1588.0</v>
      </c>
      <c r="F232" s="5">
        <v>1649.0</v>
      </c>
      <c r="G232" s="3" t="s">
        <v>1107</v>
      </c>
      <c r="H232" s="3" t="s">
        <v>1108</v>
      </c>
      <c r="I232" s="7" t="s">
        <v>16</v>
      </c>
      <c r="J232" s="8" t="s">
        <v>1109</v>
      </c>
      <c r="K232" s="3" t="s">
        <v>1110</v>
      </c>
    </row>
    <row r="233" ht="22.5" customHeight="1">
      <c r="A233" s="3" t="s">
        <v>1111</v>
      </c>
      <c r="B233" s="4" t="str">
        <f t="shared" si="1"/>
        <v>Fries, Johann Jakob (1586-1656)</v>
      </c>
      <c r="C233" s="6" t="s">
        <v>1112</v>
      </c>
      <c r="D233" s="3" t="s">
        <v>32</v>
      </c>
      <c r="E233" s="22">
        <v>1586.0</v>
      </c>
      <c r="F233" s="5">
        <v>1656.0</v>
      </c>
      <c r="G233" s="6" t="s">
        <v>1113</v>
      </c>
      <c r="H233" s="3" t="s">
        <v>1114</v>
      </c>
      <c r="I233" s="7" t="s">
        <v>16</v>
      </c>
      <c r="J233" s="12" t="s">
        <v>1115</v>
      </c>
      <c r="K233" s="3" t="s">
        <v>1116</v>
      </c>
    </row>
    <row r="234" ht="22.5" customHeight="1">
      <c r="A234" s="3" t="s">
        <v>1117</v>
      </c>
      <c r="B234" s="4" t="str">
        <f t="shared" si="1"/>
        <v>Geiger, Johann Rudolf (1603-1662)</v>
      </c>
      <c r="C234" s="6" t="s">
        <v>1118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1119</v>
      </c>
      <c r="I234" s="7" t="s">
        <v>16</v>
      </c>
      <c r="J234" s="9"/>
      <c r="K234" s="3" t="s">
        <v>1120</v>
      </c>
    </row>
    <row r="235" ht="22.5" customHeight="1">
      <c r="A235" s="3" t="s">
        <v>1121</v>
      </c>
      <c r="B235" s="4" t="str">
        <f t="shared" si="1"/>
        <v>Maurer, C. (-)</v>
      </c>
      <c r="C235" s="6" t="s">
        <v>1122</v>
      </c>
      <c r="D235" s="3" t="s">
        <v>1123</v>
      </c>
      <c r="E235" s="24"/>
      <c r="F235" s="25"/>
      <c r="G235" s="9"/>
      <c r="H235" s="3"/>
      <c r="I235" s="7" t="s">
        <v>16</v>
      </c>
      <c r="J235" s="9"/>
      <c r="K235" s="9"/>
    </row>
    <row r="236" ht="22.5" customHeight="1">
      <c r="A236" s="3" t="s">
        <v>1124</v>
      </c>
      <c r="B236" s="4" t="str">
        <f t="shared" si="1"/>
        <v>Suter, C. (-)</v>
      </c>
      <c r="C236" s="6" t="s">
        <v>1125</v>
      </c>
      <c r="D236" s="3" t="s">
        <v>1123</v>
      </c>
      <c r="E236" s="24"/>
      <c r="F236" s="25"/>
      <c r="G236" s="9"/>
      <c r="H236" s="3"/>
      <c r="I236" s="7" t="s">
        <v>16</v>
      </c>
      <c r="J236" s="9"/>
      <c r="K236" s="9"/>
    </row>
    <row r="237" ht="22.5" customHeight="1">
      <c r="A237" s="3" t="s">
        <v>1126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1127</v>
      </c>
      <c r="H237" s="3" t="s">
        <v>1128</v>
      </c>
      <c r="I237" s="7" t="s">
        <v>16</v>
      </c>
      <c r="J237" s="6" t="s">
        <v>1129</v>
      </c>
      <c r="K237" s="9"/>
    </row>
    <row r="238" ht="22.5" customHeight="1">
      <c r="A238" s="3" t="s">
        <v>1130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1131</v>
      </c>
      <c r="H238" s="3" t="s">
        <v>1132</v>
      </c>
      <c r="I238" s="7" t="s">
        <v>16</v>
      </c>
      <c r="J238" s="3" t="s">
        <v>1133</v>
      </c>
      <c r="K238" s="9"/>
    </row>
    <row r="239" ht="22.5" customHeight="1">
      <c r="A239" s="3" t="s">
        <v>1134</v>
      </c>
      <c r="B239" s="4" t="str">
        <f t="shared" si="1"/>
        <v>Waser, Kaspar (1565-1625)</v>
      </c>
      <c r="C239" s="6" t="s">
        <v>648</v>
      </c>
      <c r="D239" s="3" t="s">
        <v>956</v>
      </c>
      <c r="E239" s="22">
        <v>1565.0</v>
      </c>
      <c r="F239" s="22">
        <v>1625.0</v>
      </c>
      <c r="G239" s="3" t="s">
        <v>1135</v>
      </c>
      <c r="H239" s="3" t="s">
        <v>1136</v>
      </c>
      <c r="I239" s="7" t="s">
        <v>16</v>
      </c>
      <c r="J239" s="3" t="s">
        <v>1137</v>
      </c>
      <c r="K239" s="9"/>
    </row>
    <row r="240" ht="22.5" customHeight="1">
      <c r="A240" s="3" t="s">
        <v>1138</v>
      </c>
      <c r="B240" s="4" t="str">
        <f t="shared" si="1"/>
        <v>Hospinianus, Rudolf (1547-1626)</v>
      </c>
      <c r="C240" s="6" t="s">
        <v>1139</v>
      </c>
      <c r="D240" s="3" t="s">
        <v>146</v>
      </c>
      <c r="E240" s="5">
        <v>1547.0</v>
      </c>
      <c r="F240" s="22">
        <v>1626.0</v>
      </c>
      <c r="G240" s="3" t="s">
        <v>1140</v>
      </c>
      <c r="H240" s="3" t="s">
        <v>1141</v>
      </c>
      <c r="I240" s="7" t="s">
        <v>16</v>
      </c>
      <c r="J240" s="3" t="s">
        <v>1142</v>
      </c>
      <c r="K240" s="9"/>
    </row>
    <row r="241" ht="22.5" customHeight="1">
      <c r="A241" s="3" t="s">
        <v>1143</v>
      </c>
      <c r="B241" s="4" t="str">
        <f t="shared" si="1"/>
        <v>Erni, Heinrich (1565-1639)</v>
      </c>
      <c r="C241" s="6" t="s">
        <v>1144</v>
      </c>
      <c r="D241" s="3" t="s">
        <v>38</v>
      </c>
      <c r="E241" s="22">
        <v>1565.0</v>
      </c>
      <c r="F241" s="22">
        <v>1639.0</v>
      </c>
      <c r="G241" s="6" t="s">
        <v>1145</v>
      </c>
      <c r="H241" s="3" t="s">
        <v>1146</v>
      </c>
      <c r="I241" s="7" t="s">
        <v>16</v>
      </c>
      <c r="J241" s="3" t="s">
        <v>1147</v>
      </c>
      <c r="K241" s="9"/>
    </row>
    <row r="242" ht="22.5" customHeight="1">
      <c r="A242" s="3" t="s">
        <v>1148</v>
      </c>
      <c r="B242" s="4" t="str">
        <f t="shared" si="1"/>
        <v>Thomann, Hans Peter  (1583-1651)</v>
      </c>
      <c r="C242" s="6" t="s">
        <v>1149</v>
      </c>
      <c r="D242" s="3" t="s">
        <v>1150</v>
      </c>
      <c r="E242" s="5">
        <v>1583.0</v>
      </c>
      <c r="F242" s="5">
        <v>1651.0</v>
      </c>
      <c r="G242" s="3" t="s">
        <v>1151</v>
      </c>
      <c r="H242" s="6" t="s">
        <v>1152</v>
      </c>
      <c r="I242" s="7" t="s">
        <v>16</v>
      </c>
      <c r="J242" s="33" t="s">
        <v>1153</v>
      </c>
      <c r="K242" s="9"/>
    </row>
    <row r="243" ht="22.5" customHeight="1">
      <c r="A243" s="3" t="s">
        <v>1154</v>
      </c>
      <c r="B243" s="4" t="str">
        <f t="shared" si="1"/>
        <v>Stucki, Johann Rudolf (1596-1660)</v>
      </c>
      <c r="C243" s="6" t="s">
        <v>1155</v>
      </c>
      <c r="D243" s="3" t="s">
        <v>895</v>
      </c>
      <c r="E243" s="5">
        <v>1596.0</v>
      </c>
      <c r="F243" s="5">
        <v>1660.0</v>
      </c>
      <c r="G243" s="3" t="s">
        <v>1156</v>
      </c>
      <c r="H243" s="3" t="s">
        <v>1157</v>
      </c>
      <c r="I243" s="7" t="s">
        <v>16</v>
      </c>
      <c r="J243" s="11" t="s">
        <v>1158</v>
      </c>
      <c r="K243" s="9"/>
    </row>
    <row r="244" ht="22.5" customHeight="1">
      <c r="A244" s="3" t="s">
        <v>1159</v>
      </c>
      <c r="B244" s="4" t="str">
        <f t="shared" si="1"/>
        <v>Zeller, H. (-)</v>
      </c>
      <c r="C244" s="6" t="s">
        <v>1160</v>
      </c>
      <c r="D244" s="3" t="s">
        <v>1161</v>
      </c>
      <c r="E244" s="24"/>
      <c r="F244" s="25"/>
      <c r="G244" s="9"/>
      <c r="H244" s="3"/>
      <c r="I244" s="7" t="s">
        <v>16</v>
      </c>
      <c r="J244" s="9"/>
      <c r="K244" s="9"/>
    </row>
    <row r="245" ht="22.5" customHeight="1">
      <c r="A245" s="3" t="s">
        <v>1162</v>
      </c>
      <c r="B245" s="4" t="str">
        <f t="shared" si="1"/>
        <v>, Jacob (-)</v>
      </c>
      <c r="C245" s="6"/>
      <c r="D245" s="3" t="s">
        <v>1163</v>
      </c>
      <c r="E245" s="24"/>
      <c r="F245" s="25"/>
      <c r="G245" s="9"/>
      <c r="H245" s="3" t="s">
        <v>1164</v>
      </c>
      <c r="I245" s="7" t="s">
        <v>16</v>
      </c>
      <c r="J245" s="9"/>
      <c r="K245" s="9"/>
    </row>
    <row r="246" ht="22.5" customHeight="1">
      <c r="A246" s="3" t="s">
        <v>1165</v>
      </c>
      <c r="B246" s="4" t="str">
        <f t="shared" si="1"/>
        <v>Ulrich, Anna (1622-1697)</v>
      </c>
      <c r="C246" s="6" t="s">
        <v>925</v>
      </c>
      <c r="D246" s="3" t="s">
        <v>931</v>
      </c>
      <c r="E246" s="22">
        <v>1622.0</v>
      </c>
      <c r="F246" s="22">
        <v>1697.0</v>
      </c>
      <c r="G246" s="9"/>
      <c r="H246" s="3" t="s">
        <v>1166</v>
      </c>
      <c r="I246" s="7" t="s">
        <v>16</v>
      </c>
      <c r="J246" s="12" t="s">
        <v>1167</v>
      </c>
      <c r="K246" s="9"/>
    </row>
    <row r="247" ht="22.5" customHeight="1">
      <c r="A247" s="3" t="s">
        <v>1168</v>
      </c>
      <c r="B247" s="4" t="str">
        <f t="shared" si="1"/>
        <v>Kusen, Jost von (1570-1630)</v>
      </c>
      <c r="C247" s="6" t="s">
        <v>1169</v>
      </c>
      <c r="D247" s="3" t="s">
        <v>1170</v>
      </c>
      <c r="E247" s="5">
        <v>1570.0</v>
      </c>
      <c r="F247" s="5">
        <v>1630.0</v>
      </c>
      <c r="G247" s="3" t="s">
        <v>1171</v>
      </c>
      <c r="H247" s="3" t="s">
        <v>1172</v>
      </c>
      <c r="I247" s="7" t="s">
        <v>16</v>
      </c>
      <c r="J247" s="3" t="s">
        <v>1173</v>
      </c>
      <c r="K247" s="3" t="s">
        <v>1174</v>
      </c>
    </row>
    <row r="248" ht="22.5" customHeight="1">
      <c r="A248" s="3" t="s">
        <v>1175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1176</v>
      </c>
      <c r="H248" s="3" t="s">
        <v>1177</v>
      </c>
      <c r="I248" s="7" t="s">
        <v>16</v>
      </c>
      <c r="J248" s="16" t="s">
        <v>1178</v>
      </c>
      <c r="K248" s="9"/>
    </row>
    <row r="249" ht="22.5" customHeight="1">
      <c r="A249" s="3" t="s">
        <v>1179</v>
      </c>
      <c r="B249" s="4" t="str">
        <f t="shared" si="1"/>
        <v>Gessner, Salomon (1623-1667)</v>
      </c>
      <c r="C249" s="6" t="s">
        <v>1180</v>
      </c>
      <c r="D249" s="3" t="s">
        <v>729</v>
      </c>
      <c r="E249" s="5">
        <v>1623.0</v>
      </c>
      <c r="F249" s="5">
        <v>1667.0</v>
      </c>
      <c r="G249" s="3" t="s">
        <v>1181</v>
      </c>
      <c r="H249" s="3" t="s">
        <v>1182</v>
      </c>
      <c r="I249" s="7" t="s">
        <v>16</v>
      </c>
      <c r="J249" s="3" t="s">
        <v>1183</v>
      </c>
      <c r="K249" s="3" t="s">
        <v>1184</v>
      </c>
    </row>
    <row r="250" ht="22.5" customHeight="1">
      <c r="A250" s="3" t="s">
        <v>1185</v>
      </c>
      <c r="B250" s="4" t="str">
        <f t="shared" si="1"/>
        <v>Wöllwein, Johann Anton (1616-1659)</v>
      </c>
      <c r="C250" s="6" t="s">
        <v>1186</v>
      </c>
      <c r="D250" s="3" t="s">
        <v>1187</v>
      </c>
      <c r="E250" s="5">
        <v>1616.0</v>
      </c>
      <c r="F250" s="5">
        <v>1659.0</v>
      </c>
      <c r="G250" s="3" t="s">
        <v>1188</v>
      </c>
      <c r="H250" s="3" t="s">
        <v>1189</v>
      </c>
      <c r="I250" s="7" t="s">
        <v>16</v>
      </c>
      <c r="J250" s="9"/>
      <c r="K250" s="3" t="s">
        <v>1174</v>
      </c>
    </row>
    <row r="251" ht="22.5" customHeight="1">
      <c r="A251" s="3" t="s">
        <v>1190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1191</v>
      </c>
      <c r="I251" s="7" t="s">
        <v>16</v>
      </c>
      <c r="J251" s="12" t="s">
        <v>1192</v>
      </c>
      <c r="K251" s="9"/>
    </row>
    <row r="252" ht="22.5" customHeight="1">
      <c r="A252" s="3" t="s">
        <v>1193</v>
      </c>
      <c r="B252" s="4" t="str">
        <f t="shared" si="1"/>
        <v>Simler, Hans Rudolf (1635-‎1689)</v>
      </c>
      <c r="C252" s="6" t="s">
        <v>12</v>
      </c>
      <c r="D252" s="3" t="s">
        <v>1194</v>
      </c>
      <c r="E252" s="5">
        <v>1635.0</v>
      </c>
      <c r="F252" s="10" t="s">
        <v>1195</v>
      </c>
      <c r="G252" s="9"/>
      <c r="H252" s="3" t="s">
        <v>1196</v>
      </c>
      <c r="I252" s="7" t="s">
        <v>16</v>
      </c>
      <c r="J252" s="12" t="s">
        <v>1197</v>
      </c>
      <c r="K252" s="9"/>
    </row>
    <row r="253" ht="22.5" customHeight="1">
      <c r="A253" s="3" t="s">
        <v>1198</v>
      </c>
      <c r="B253" s="4" t="str">
        <f t="shared" si="1"/>
        <v>de Ruyter, Michiel (1607-1676)</v>
      </c>
      <c r="C253" s="6" t="s">
        <v>1199</v>
      </c>
      <c r="D253" s="3" t="s">
        <v>1200</v>
      </c>
      <c r="E253" s="5">
        <v>1607.0</v>
      </c>
      <c r="F253" s="5">
        <v>1676.0</v>
      </c>
      <c r="G253" s="3" t="s">
        <v>1201</v>
      </c>
      <c r="H253" s="3" t="s">
        <v>1202</v>
      </c>
      <c r="I253" s="7" t="s">
        <v>16</v>
      </c>
      <c r="J253" s="9"/>
      <c r="K253" s="9"/>
    </row>
    <row r="254" ht="22.5" customHeight="1">
      <c r="A254" s="3" t="s">
        <v>1203</v>
      </c>
      <c r="B254" s="4" t="str">
        <f t="shared" si="1"/>
        <v>Frau Oberstin,  (-)</v>
      </c>
      <c r="C254" s="6" t="s">
        <v>1204</v>
      </c>
      <c r="D254" s="3"/>
      <c r="E254" s="24"/>
      <c r="F254" s="25"/>
      <c r="G254" s="9"/>
      <c r="H254" s="3" t="s">
        <v>1205</v>
      </c>
      <c r="I254" s="7" t="s">
        <v>16</v>
      </c>
      <c r="J254" s="9"/>
      <c r="K254" s="9"/>
    </row>
    <row r="255" ht="22.5" customHeight="1">
      <c r="A255" s="3" t="s">
        <v>1206</v>
      </c>
      <c r="B255" s="4" t="str">
        <f t="shared" si="1"/>
        <v>Vulcanus,  (-)</v>
      </c>
      <c r="C255" s="6" t="s">
        <v>1207</v>
      </c>
      <c r="D255" s="3"/>
      <c r="E255" s="24"/>
      <c r="F255" s="25"/>
      <c r="G255" s="3" t="s">
        <v>1208</v>
      </c>
      <c r="H255" s="3" t="s">
        <v>1209</v>
      </c>
      <c r="I255" s="7" t="s">
        <v>241</v>
      </c>
      <c r="J255" s="9"/>
      <c r="K255" s="9"/>
    </row>
    <row r="256" ht="22.5" customHeight="1">
      <c r="A256" s="3" t="s">
        <v>1210</v>
      </c>
      <c r="B256" s="4" t="str">
        <f t="shared" si="1"/>
        <v>Esau,  (-)</v>
      </c>
      <c r="C256" s="6" t="s">
        <v>1211</v>
      </c>
      <c r="D256" s="3"/>
      <c r="E256" s="24"/>
      <c r="F256" s="25"/>
      <c r="G256" s="3" t="s">
        <v>1212</v>
      </c>
      <c r="H256" s="3" t="s">
        <v>1213</v>
      </c>
      <c r="I256" s="7" t="s">
        <v>259</v>
      </c>
      <c r="J256" s="9"/>
      <c r="K256" s="9"/>
    </row>
    <row r="257" ht="22.5" customHeight="1">
      <c r="A257" s="3" t="s">
        <v>1214</v>
      </c>
      <c r="B257" s="4" t="str">
        <f t="shared" si="1"/>
        <v>Danaos,  (-)</v>
      </c>
      <c r="C257" s="6" t="s">
        <v>1215</v>
      </c>
      <c r="D257" s="3"/>
      <c r="E257" s="24"/>
      <c r="F257" s="25"/>
      <c r="G257" s="3" t="s">
        <v>1216</v>
      </c>
      <c r="H257" s="3" t="s">
        <v>1217</v>
      </c>
      <c r="I257" s="7" t="s">
        <v>241</v>
      </c>
      <c r="J257" s="9"/>
      <c r="K257" s="9"/>
    </row>
    <row r="258" ht="22.5" customHeight="1">
      <c r="A258" s="3" t="s">
        <v>1218</v>
      </c>
      <c r="B258" s="4" t="str">
        <f t="shared" si="1"/>
        <v>Medusa,  (-)</v>
      </c>
      <c r="C258" s="6" t="s">
        <v>1219</v>
      </c>
      <c r="D258" s="3"/>
      <c r="E258" s="24"/>
      <c r="F258" s="25"/>
      <c r="G258" s="3" t="s">
        <v>1220</v>
      </c>
      <c r="H258" s="3" t="s">
        <v>1221</v>
      </c>
      <c r="I258" s="7" t="s">
        <v>241</v>
      </c>
      <c r="J258" s="9"/>
      <c r="K258" s="9"/>
    </row>
    <row r="259" ht="22.5" customHeight="1">
      <c r="A259" s="3" t="s">
        <v>1222</v>
      </c>
      <c r="B259" s="4" t="str">
        <f t="shared" si="1"/>
        <v>Pluton,  (-)</v>
      </c>
      <c r="C259" s="6" t="s">
        <v>1223</v>
      </c>
      <c r="D259" s="3"/>
      <c r="E259" s="24"/>
      <c r="F259" s="25"/>
      <c r="G259" s="3" t="s">
        <v>1224</v>
      </c>
      <c r="H259" s="3" t="s">
        <v>1225</v>
      </c>
      <c r="I259" s="7" t="s">
        <v>241</v>
      </c>
      <c r="J259" s="9"/>
      <c r="K259" s="9"/>
    </row>
    <row r="260" ht="22.5" customHeight="1">
      <c r="A260" s="3" t="s">
        <v>1226</v>
      </c>
      <c r="B260" s="4" t="str">
        <f t="shared" si="1"/>
        <v>Merkur,  (-)</v>
      </c>
      <c r="C260" s="6" t="s">
        <v>1227</v>
      </c>
      <c r="D260" s="3"/>
      <c r="E260" s="24"/>
      <c r="F260" s="25"/>
      <c r="G260" s="3" t="s">
        <v>1228</v>
      </c>
      <c r="H260" s="3" t="s">
        <v>1229</v>
      </c>
      <c r="I260" s="7" t="s">
        <v>241</v>
      </c>
      <c r="J260" s="9"/>
      <c r="K260" s="9"/>
    </row>
    <row r="261" ht="22.5" customHeight="1">
      <c r="A261" s="3" t="s">
        <v>1230</v>
      </c>
      <c r="B261" s="4" t="str">
        <f t="shared" si="1"/>
        <v>Perseus,  (-)</v>
      </c>
      <c r="C261" s="6" t="s">
        <v>1231</v>
      </c>
      <c r="D261" s="3"/>
      <c r="E261" s="24"/>
      <c r="F261" s="25"/>
      <c r="G261" s="3" t="s">
        <v>1232</v>
      </c>
      <c r="H261" s="3" t="s">
        <v>1233</v>
      </c>
      <c r="I261" s="7" t="s">
        <v>241</v>
      </c>
      <c r="J261" s="9"/>
      <c r="K261" s="9"/>
    </row>
    <row r="262" ht="22.5" customHeight="1">
      <c r="A262" s="3" t="s">
        <v>1234</v>
      </c>
      <c r="B262" s="4" t="str">
        <f t="shared" si="1"/>
        <v>Atropos,  (-)</v>
      </c>
      <c r="C262" s="6" t="s">
        <v>1235</v>
      </c>
      <c r="D262" s="3"/>
      <c r="E262" s="24"/>
      <c r="F262" s="25"/>
      <c r="G262" s="3" t="s">
        <v>1236</v>
      </c>
      <c r="H262" s="3" t="s">
        <v>1237</v>
      </c>
      <c r="I262" s="7" t="s">
        <v>241</v>
      </c>
      <c r="J262" s="9"/>
      <c r="K262" s="9"/>
    </row>
    <row r="263" ht="22.5" customHeight="1">
      <c r="A263" s="3" t="s">
        <v>1238</v>
      </c>
      <c r="B263" s="4" t="str">
        <f t="shared" si="1"/>
        <v>Barbara von Nikomedien,  (-)</v>
      </c>
      <c r="C263" s="6" t="s">
        <v>1239</v>
      </c>
      <c r="D263" s="3"/>
      <c r="E263" s="24"/>
      <c r="F263" s="25"/>
      <c r="G263" s="3" t="s">
        <v>1240</v>
      </c>
      <c r="H263" s="3" t="s">
        <v>1241</v>
      </c>
      <c r="I263" s="7" t="s">
        <v>259</v>
      </c>
      <c r="J263" s="9"/>
      <c r="K263" s="9"/>
    </row>
    <row r="264" ht="22.5" customHeight="1">
      <c r="A264" s="3" t="s">
        <v>1242</v>
      </c>
      <c r="B264" s="4" t="str">
        <f t="shared" si="1"/>
        <v>, Rudolf (-)</v>
      </c>
      <c r="C264" s="19"/>
      <c r="D264" s="19" t="s">
        <v>146</v>
      </c>
      <c r="E264" s="29"/>
      <c r="F264" s="30"/>
      <c r="G264" s="31"/>
      <c r="H264" s="19" t="s">
        <v>1243</v>
      </c>
      <c r="I264" s="34"/>
      <c r="J264" s="31"/>
      <c r="K264" s="31"/>
    </row>
    <row r="265" ht="22.5" customHeight="1">
      <c r="A265" s="3" t="s">
        <v>1244</v>
      </c>
      <c r="B265" s="4" t="str">
        <f t="shared" si="1"/>
        <v>, Johannes (-)</v>
      </c>
      <c r="C265" s="19"/>
      <c r="D265" s="19" t="s">
        <v>127</v>
      </c>
      <c r="E265" s="29"/>
      <c r="F265" s="30"/>
      <c r="G265" s="31"/>
      <c r="H265" s="19" t="s">
        <v>1243</v>
      </c>
      <c r="I265" s="34"/>
      <c r="J265" s="31"/>
      <c r="K265" s="31"/>
    </row>
    <row r="266" ht="22.5" customHeight="1">
      <c r="A266" s="3" t="s">
        <v>1245</v>
      </c>
      <c r="B266" s="4" t="str">
        <f t="shared" si="1"/>
        <v>Karl I. Ludwig,  (1617/1618-1680)</v>
      </c>
      <c r="C266" s="6" t="s">
        <v>1246</v>
      </c>
      <c r="D266" s="3"/>
      <c r="E266" s="5" t="s">
        <v>1247</v>
      </c>
      <c r="F266" s="22">
        <v>1680.0</v>
      </c>
      <c r="G266" s="3" t="s">
        <v>1248</v>
      </c>
      <c r="H266" s="3" t="s">
        <v>1249</v>
      </c>
      <c r="I266" s="7" t="s">
        <v>16</v>
      </c>
      <c r="J266" s="8" t="s">
        <v>1250</v>
      </c>
      <c r="K266" s="9"/>
    </row>
    <row r="267" ht="22.5" customHeight="1">
      <c r="A267" s="3" t="s">
        <v>1251</v>
      </c>
      <c r="B267" s="4" t="str">
        <f t="shared" si="1"/>
        <v>Dury, John (1596-1680)</v>
      </c>
      <c r="C267" s="6" t="s">
        <v>1252</v>
      </c>
      <c r="D267" s="3" t="s">
        <v>1253</v>
      </c>
      <c r="E267" s="22">
        <v>1596.0</v>
      </c>
      <c r="F267" s="22">
        <v>1680.0</v>
      </c>
      <c r="G267" s="3" t="s">
        <v>1254</v>
      </c>
      <c r="H267" s="3" t="s">
        <v>1255</v>
      </c>
      <c r="I267" s="7" t="s">
        <v>16</v>
      </c>
      <c r="J267" s="12" t="s">
        <v>1256</v>
      </c>
      <c r="K267" s="9"/>
    </row>
    <row r="268" ht="22.5" customHeight="1">
      <c r="A268" s="3" t="s">
        <v>1257</v>
      </c>
      <c r="B268" s="4" t="str">
        <f t="shared" si="1"/>
        <v>Zesen, Philipp von (1619-1689)</v>
      </c>
      <c r="C268" s="6" t="s">
        <v>1258</v>
      </c>
      <c r="D268" s="3" t="s">
        <v>1259</v>
      </c>
      <c r="E268" s="5">
        <v>1619.0</v>
      </c>
      <c r="F268" s="5">
        <v>1689.0</v>
      </c>
      <c r="G268" s="3" t="s">
        <v>1260</v>
      </c>
      <c r="H268" s="3" t="s">
        <v>1261</v>
      </c>
      <c r="I268" s="7" t="s">
        <v>16</v>
      </c>
      <c r="J268" s="9"/>
      <c r="K268" s="9"/>
    </row>
    <row r="269" ht="22.5" customHeight="1">
      <c r="A269" s="3" t="s">
        <v>1262</v>
      </c>
      <c r="B269" s="4" t="str">
        <f t="shared" si="1"/>
        <v>Lucretia,  (-)</v>
      </c>
      <c r="C269" s="6" t="s">
        <v>1263</v>
      </c>
      <c r="D269" s="3"/>
      <c r="E269" s="24"/>
      <c r="F269" s="25"/>
      <c r="G269" s="3" t="s">
        <v>1264</v>
      </c>
      <c r="H269" s="3" t="s">
        <v>1265</v>
      </c>
      <c r="I269" s="7" t="s">
        <v>241</v>
      </c>
      <c r="J269" s="9"/>
      <c r="K269" s="9"/>
    </row>
    <row r="270" ht="22.5" customHeight="1">
      <c r="A270" s="3" t="s">
        <v>1266</v>
      </c>
      <c r="B270" s="4" t="str">
        <f t="shared" si="1"/>
        <v>Ovid,  (-)</v>
      </c>
      <c r="C270" s="6" t="s">
        <v>1267</v>
      </c>
      <c r="D270" s="3"/>
      <c r="E270" s="24"/>
      <c r="F270" s="25"/>
      <c r="G270" s="3" t="s">
        <v>1268</v>
      </c>
      <c r="H270" s="3" t="s">
        <v>1269</v>
      </c>
      <c r="I270" s="7" t="s">
        <v>16</v>
      </c>
      <c r="J270" s="9"/>
      <c r="K270" s="9"/>
    </row>
    <row r="271" ht="22.5" customHeight="1">
      <c r="A271" s="3" t="s">
        <v>1270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1271</v>
      </c>
      <c r="F271" s="3" t="s">
        <v>1272</v>
      </c>
      <c r="G271" s="3" t="s">
        <v>714</v>
      </c>
      <c r="H271" s="3" t="s">
        <v>1273</v>
      </c>
      <c r="I271" s="7" t="s">
        <v>16</v>
      </c>
      <c r="J271" s="12" t="s">
        <v>716</v>
      </c>
      <c r="K271" s="3" t="s">
        <v>1274</v>
      </c>
    </row>
    <row r="272" ht="22.5" customHeight="1">
      <c r="A272" s="3" t="s">
        <v>1275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1276</v>
      </c>
      <c r="B273" s="4" t="str">
        <f t="shared" si="1"/>
        <v>Elischa,  (-)</v>
      </c>
      <c r="C273" s="6" t="s">
        <v>1277</v>
      </c>
      <c r="D273" s="3"/>
      <c r="E273" s="24"/>
      <c r="F273" s="25"/>
      <c r="G273" s="3" t="s">
        <v>1278</v>
      </c>
      <c r="H273" s="3" t="s">
        <v>1279</v>
      </c>
      <c r="I273" s="7" t="s">
        <v>259</v>
      </c>
      <c r="J273" s="9"/>
      <c r="K273" s="9"/>
    </row>
    <row r="274" ht="22.5" customHeight="1">
      <c r="A274" s="3" t="s">
        <v>1280</v>
      </c>
      <c r="B274" s="4" t="str">
        <f t="shared" si="1"/>
        <v>Johannes der Täufer,  (-)</v>
      </c>
      <c r="C274" s="6" t="s">
        <v>1281</v>
      </c>
      <c r="D274" s="3"/>
      <c r="E274" s="24"/>
      <c r="F274" s="25"/>
      <c r="G274" s="3" t="s">
        <v>1282</v>
      </c>
      <c r="H274" s="3" t="s">
        <v>1283</v>
      </c>
      <c r="I274" s="7" t="s">
        <v>259</v>
      </c>
      <c r="J274" s="9"/>
      <c r="K274" s="9"/>
    </row>
    <row r="275" ht="22.5" customHeight="1">
      <c r="A275" s="3" t="s">
        <v>1284</v>
      </c>
      <c r="B275" s="4" t="str">
        <f t="shared" si="1"/>
        <v>Caesar, Gaius Iulius (100 v. Chr.-44 v. Chr.)</v>
      </c>
      <c r="C275" s="6" t="s">
        <v>1285</v>
      </c>
      <c r="D275" s="3" t="s">
        <v>1286</v>
      </c>
      <c r="E275" s="5" t="s">
        <v>582</v>
      </c>
      <c r="F275" s="5" t="s">
        <v>1287</v>
      </c>
      <c r="G275" s="3" t="s">
        <v>1288</v>
      </c>
      <c r="H275" s="3" t="s">
        <v>1289</v>
      </c>
      <c r="I275" s="7" t="s">
        <v>16</v>
      </c>
      <c r="J275" s="9"/>
      <c r="K275" s="9"/>
    </row>
    <row r="276" ht="22.5" customHeight="1">
      <c r="A276" s="3" t="s">
        <v>1290</v>
      </c>
      <c r="B276" s="4" t="str">
        <f t="shared" si="1"/>
        <v>Helios,  (-)</v>
      </c>
      <c r="C276" s="6" t="s">
        <v>1291</v>
      </c>
      <c r="D276" s="3"/>
      <c r="E276" s="24"/>
      <c r="F276" s="25"/>
      <c r="G276" s="3" t="s">
        <v>1292</v>
      </c>
      <c r="H276" s="3" t="s">
        <v>1293</v>
      </c>
      <c r="I276" s="7" t="s">
        <v>241</v>
      </c>
      <c r="J276" s="9"/>
      <c r="K276" s="9"/>
    </row>
    <row r="277" ht="22.5" customHeight="1">
      <c r="A277" s="3" t="s">
        <v>1294</v>
      </c>
      <c r="B277" s="4" t="str">
        <f t="shared" si="1"/>
        <v>Suevus,  (-)</v>
      </c>
      <c r="C277" s="6" t="s">
        <v>1295</v>
      </c>
      <c r="D277" s="3"/>
      <c r="E277" s="24"/>
      <c r="F277" s="25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1296</v>
      </c>
      <c r="B278" s="4" t="str">
        <f t="shared" si="1"/>
        <v>Momos,  (-)</v>
      </c>
      <c r="C278" s="6" t="s">
        <v>1297</v>
      </c>
      <c r="D278" s="3"/>
      <c r="E278" s="24"/>
      <c r="F278" s="25"/>
      <c r="G278" s="3" t="s">
        <v>1298</v>
      </c>
      <c r="H278" s="3" t="s">
        <v>1299</v>
      </c>
      <c r="I278" s="7" t="s">
        <v>241</v>
      </c>
      <c r="J278" s="8" t="s">
        <v>1300</v>
      </c>
      <c r="K278" s="9"/>
    </row>
    <row r="279" ht="22.5" customHeight="1">
      <c r="A279" s="3" t="s">
        <v>1301</v>
      </c>
      <c r="B279" s="4" t="str">
        <f t="shared" si="1"/>
        <v>Galatea,  (-)</v>
      </c>
      <c r="C279" s="6" t="s">
        <v>1302</v>
      </c>
      <c r="D279" s="3"/>
      <c r="E279" s="24"/>
      <c r="F279" s="25"/>
      <c r="G279" s="3" t="s">
        <v>1303</v>
      </c>
      <c r="H279" s="3" t="s">
        <v>1304</v>
      </c>
      <c r="I279" s="7" t="s">
        <v>241</v>
      </c>
      <c r="J279" s="9"/>
      <c r="K279" s="9"/>
    </row>
    <row r="280" ht="22.5" customHeight="1">
      <c r="A280" s="3" t="s">
        <v>1305</v>
      </c>
      <c r="B280" s="4" t="str">
        <f t="shared" si="1"/>
        <v>Escher vom Luchs‏‎, Hans Heinrich (‎1644-1714)</v>
      </c>
      <c r="C280" s="6" t="s">
        <v>1306</v>
      </c>
      <c r="D280" s="3" t="s">
        <v>71</v>
      </c>
      <c r="E280" s="10" t="s">
        <v>1307</v>
      </c>
      <c r="F280" s="5">
        <v>1714.0</v>
      </c>
      <c r="G280" s="9"/>
      <c r="H280" s="3" t="s">
        <v>1308</v>
      </c>
      <c r="I280" s="7" t="s">
        <v>16</v>
      </c>
      <c r="J280" s="8" t="s">
        <v>1309</v>
      </c>
      <c r="K280" s="8" t="s">
        <v>1310</v>
      </c>
    </row>
    <row r="281" ht="22.5" customHeight="1">
      <c r="A281" s="3" t="s">
        <v>1311</v>
      </c>
      <c r="B281" s="4" t="str">
        <f t="shared" si="1"/>
        <v>Agapetus,  (6. Jh.-6. Jh.)</v>
      </c>
      <c r="C281" s="6" t="s">
        <v>1312</v>
      </c>
      <c r="D281" s="3"/>
      <c r="E281" s="10" t="s">
        <v>1313</v>
      </c>
      <c r="F281" s="5" t="s">
        <v>1313</v>
      </c>
      <c r="G281" s="3" t="s">
        <v>1314</v>
      </c>
      <c r="H281" s="3" t="s">
        <v>1315</v>
      </c>
      <c r="I281" s="7" t="s">
        <v>16</v>
      </c>
      <c r="J281" s="8" t="s">
        <v>1316</v>
      </c>
      <c r="K281" s="11"/>
    </row>
    <row r="282" ht="22.5" customHeight="1">
      <c r="A282" s="3" t="s">
        <v>1317</v>
      </c>
      <c r="B282" s="4" t="str">
        <f t="shared" si="1"/>
        <v>Justinian I.,  (482-565)</v>
      </c>
      <c r="C282" s="6" t="s">
        <v>1318</v>
      </c>
      <c r="D282" s="3"/>
      <c r="E282" s="10">
        <v>482.0</v>
      </c>
      <c r="F282" s="5">
        <v>565.0</v>
      </c>
      <c r="G282" s="3" t="s">
        <v>1319</v>
      </c>
      <c r="H282" s="3" t="s">
        <v>1320</v>
      </c>
      <c r="I282" s="7" t="s">
        <v>16</v>
      </c>
      <c r="J282" s="11"/>
      <c r="K282" s="11"/>
    </row>
    <row r="283" ht="22.5" customHeight="1">
      <c r="A283" s="3" t="s">
        <v>1321</v>
      </c>
      <c r="B283" s="4" t="str">
        <f t="shared" si="1"/>
        <v>Theodora I.,  (497-548)</v>
      </c>
      <c r="C283" s="6" t="s">
        <v>1322</v>
      </c>
      <c r="D283" s="3"/>
      <c r="E283" s="10">
        <v>497.0</v>
      </c>
      <c r="F283" s="5">
        <v>548.0</v>
      </c>
      <c r="G283" s="3" t="s">
        <v>1323</v>
      </c>
      <c r="H283" s="3" t="s">
        <v>1324</v>
      </c>
      <c r="I283" s="7" t="s">
        <v>16</v>
      </c>
      <c r="J283" s="11"/>
      <c r="K283" s="11"/>
    </row>
    <row r="284" ht="22.5" customHeight="1">
      <c r="A284" s="3" t="s">
        <v>1325</v>
      </c>
      <c r="B284" s="4" t="str">
        <f t="shared" si="1"/>
        <v>Israel,  (-)</v>
      </c>
      <c r="C284" s="6" t="s">
        <v>1326</v>
      </c>
      <c r="D284" s="3"/>
      <c r="E284" s="10"/>
      <c r="F284" s="5"/>
      <c r="G284" s="9"/>
      <c r="H284" s="3" t="s">
        <v>1327</v>
      </c>
      <c r="I284" s="7" t="s">
        <v>259</v>
      </c>
      <c r="J284" s="8" t="s">
        <v>1328</v>
      </c>
      <c r="K284" s="11"/>
    </row>
    <row r="285" ht="22.5" customHeight="1">
      <c r="A285" s="3" t="s">
        <v>1329</v>
      </c>
      <c r="B285" s="4" t="str">
        <f t="shared" si="1"/>
        <v>Simler, Josias (1530-1576)</v>
      </c>
      <c r="C285" s="6" t="s">
        <v>12</v>
      </c>
      <c r="D285" s="3" t="s">
        <v>1330</v>
      </c>
      <c r="E285" s="10">
        <v>1530.0</v>
      </c>
      <c r="F285" s="5">
        <v>1576.0</v>
      </c>
      <c r="G285" s="3" t="s">
        <v>1331</v>
      </c>
      <c r="H285" s="3" t="s">
        <v>1332</v>
      </c>
      <c r="I285" s="7" t="s">
        <v>16</v>
      </c>
      <c r="J285" s="8" t="s">
        <v>1333</v>
      </c>
      <c r="K285" s="11"/>
    </row>
    <row r="286" ht="22.5" customHeight="1">
      <c r="A286" s="3" t="s">
        <v>1334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1335</v>
      </c>
      <c r="I286" s="7" t="s">
        <v>16</v>
      </c>
      <c r="J286" s="8" t="s">
        <v>1336</v>
      </c>
      <c r="K286" s="11"/>
    </row>
    <row r="287" ht="22.5" customHeight="1">
      <c r="A287" s="3" t="s">
        <v>1337</v>
      </c>
      <c r="B287" s="4" t="str">
        <f t="shared" si="1"/>
        <v>Fäsi, Magdalena (1583-1665)</v>
      </c>
      <c r="C287" s="6" t="s">
        <v>1338</v>
      </c>
      <c r="D287" s="3" t="s">
        <v>644</v>
      </c>
      <c r="E287" s="10">
        <v>1583.0</v>
      </c>
      <c r="F287" s="5">
        <v>1665.0</v>
      </c>
      <c r="G287" s="9"/>
      <c r="H287" s="3" t="s">
        <v>1339</v>
      </c>
      <c r="I287" s="7" t="s">
        <v>16</v>
      </c>
      <c r="J287" s="8" t="s">
        <v>1340</v>
      </c>
      <c r="K287" s="11"/>
    </row>
    <row r="288" ht="22.5" customHeight="1">
      <c r="A288" s="3" t="s">
        <v>1341</v>
      </c>
      <c r="B288" s="4" t="str">
        <f t="shared" si="1"/>
        <v>Katharina von Alexandrien,  (-)</v>
      </c>
      <c r="C288" s="6" t="s">
        <v>1342</v>
      </c>
      <c r="D288" s="3"/>
      <c r="E288" s="10"/>
      <c r="F288" s="5"/>
      <c r="G288" s="3" t="s">
        <v>1343</v>
      </c>
      <c r="H288" s="3" t="s">
        <v>1344</v>
      </c>
      <c r="I288" s="7" t="s">
        <v>241</v>
      </c>
      <c r="J288" s="11"/>
      <c r="K288" s="11"/>
    </row>
    <row r="289" ht="22.5" customHeight="1">
      <c r="A289" s="3" t="s">
        <v>1345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1346</v>
      </c>
      <c r="I289" s="7" t="s">
        <v>16</v>
      </c>
      <c r="J289" s="8" t="s">
        <v>1347</v>
      </c>
      <c r="K289" s="11"/>
    </row>
    <row r="290" ht="22.5" customHeight="1">
      <c r="A290" s="3" t="s">
        <v>1348</v>
      </c>
      <c r="B290" s="4" t="str">
        <f t="shared" si="1"/>
        <v>Simeon,  (-)</v>
      </c>
      <c r="C290" s="6" t="s">
        <v>1349</v>
      </c>
      <c r="D290" s="3"/>
      <c r="E290" s="10"/>
      <c r="F290" s="5"/>
      <c r="G290" s="3" t="s">
        <v>1350</v>
      </c>
      <c r="H290" s="3" t="s">
        <v>1351</v>
      </c>
      <c r="I290" s="7" t="s">
        <v>259</v>
      </c>
      <c r="J290" s="8" t="s">
        <v>1352</v>
      </c>
      <c r="K290" s="11"/>
    </row>
    <row r="291" ht="22.5" customHeight="1">
      <c r="A291" s="3" t="s">
        <v>1353</v>
      </c>
      <c r="B291" s="4" t="str">
        <f t="shared" si="1"/>
        <v>M. G. H. H. H. D. J. H. H.,  (-)</v>
      </c>
      <c r="C291" s="6" t="s">
        <v>1354</v>
      </c>
      <c r="D291" s="3"/>
      <c r="E291" s="10"/>
      <c r="F291" s="5"/>
      <c r="G291" s="9"/>
      <c r="H291" s="3"/>
      <c r="I291" s="7" t="s">
        <v>16</v>
      </c>
      <c r="J291" s="11"/>
      <c r="K291" s="11" t="s">
        <v>1355</v>
      </c>
    </row>
    <row r="292" ht="22.5" customHeight="1">
      <c r="A292" s="3" t="s">
        <v>1356</v>
      </c>
      <c r="B292" s="4" t="str">
        <f t="shared" si="1"/>
        <v>Horaz,  (65 v. Chr.-8 v. Chr.)</v>
      </c>
      <c r="C292" s="6" t="s">
        <v>1357</v>
      </c>
      <c r="D292" s="3"/>
      <c r="E292" s="10" t="s">
        <v>1358</v>
      </c>
      <c r="F292" s="5" t="s">
        <v>1359</v>
      </c>
      <c r="G292" s="3" t="s">
        <v>1360</v>
      </c>
      <c r="H292" s="3" t="s">
        <v>1269</v>
      </c>
      <c r="I292" s="7" t="s">
        <v>16</v>
      </c>
      <c r="J292" s="11"/>
      <c r="K292" s="11"/>
    </row>
    <row r="293" ht="22.5" customHeight="1">
      <c r="A293" s="3" t="s">
        <v>1361</v>
      </c>
      <c r="B293" s="4" t="str">
        <f t="shared" si="1"/>
        <v>Lavater, Hans Conrad (1609-1703)</v>
      </c>
      <c r="C293" s="6" t="s">
        <v>1362</v>
      </c>
      <c r="D293" s="3" t="s">
        <v>1363</v>
      </c>
      <c r="E293" s="10">
        <v>1609.0</v>
      </c>
      <c r="F293" s="5">
        <v>1703.0</v>
      </c>
      <c r="G293" s="3" t="s">
        <v>1364</v>
      </c>
      <c r="H293" s="3" t="s">
        <v>850</v>
      </c>
      <c r="I293" s="7" t="s">
        <v>16</v>
      </c>
      <c r="J293" s="21" t="s">
        <v>1365</v>
      </c>
      <c r="K293" s="11"/>
    </row>
    <row r="294" ht="22.5" customHeight="1">
      <c r="A294" s="3" t="s">
        <v>1366</v>
      </c>
      <c r="B294" s="4" t="str">
        <f t="shared" si="1"/>
        <v>Josef von Arimathäa,  (-)</v>
      </c>
      <c r="C294" s="6" t="s">
        <v>1367</v>
      </c>
      <c r="D294" s="3"/>
      <c r="E294" s="10"/>
      <c r="F294" s="5"/>
      <c r="G294" s="3" t="s">
        <v>1368</v>
      </c>
      <c r="H294" s="3" t="s">
        <v>1369</v>
      </c>
      <c r="I294" s="7" t="s">
        <v>259</v>
      </c>
      <c r="J294" s="11" t="s">
        <v>1370</v>
      </c>
      <c r="K294" s="11"/>
    </row>
    <row r="295" ht="22.5" customHeight="1">
      <c r="A295" s="3" t="s">
        <v>1371</v>
      </c>
      <c r="B295" s="4" t="str">
        <f t="shared" si="1"/>
        <v>Maria Magdalena,  (-)</v>
      </c>
      <c r="C295" s="6" t="s">
        <v>1372</v>
      </c>
      <c r="D295" s="3"/>
      <c r="E295" s="10"/>
      <c r="F295" s="5"/>
      <c r="G295" s="3" t="s">
        <v>1373</v>
      </c>
      <c r="H295" s="3" t="s">
        <v>1374</v>
      </c>
      <c r="I295" s="7" t="s">
        <v>259</v>
      </c>
      <c r="J295" s="8" t="s">
        <v>1375</v>
      </c>
      <c r="K295" s="11"/>
    </row>
    <row r="296" ht="22.5" customHeight="1">
      <c r="A296" s="3" t="s">
        <v>1376</v>
      </c>
      <c r="B296" s="4" t="str">
        <f t="shared" si="1"/>
        <v>Merib-Baal,  (-)</v>
      </c>
      <c r="C296" s="6" t="s">
        <v>1377</v>
      </c>
      <c r="D296" s="3"/>
      <c r="E296" s="10"/>
      <c r="F296" s="5"/>
      <c r="G296" s="3" t="s">
        <v>1378</v>
      </c>
      <c r="H296" s="3" t="s">
        <v>1379</v>
      </c>
      <c r="I296" s="7" t="s">
        <v>259</v>
      </c>
      <c r="J296" s="8" t="s">
        <v>1380</v>
      </c>
      <c r="K296" s="11"/>
    </row>
    <row r="297" ht="22.5" customHeight="1">
      <c r="A297" s="3" t="s">
        <v>1381</v>
      </c>
      <c r="B297" s="4" t="str">
        <f t="shared" si="1"/>
        <v>Aurora,  (-)</v>
      </c>
      <c r="C297" s="6" t="s">
        <v>1382</v>
      </c>
      <c r="D297" s="3"/>
      <c r="E297" s="10"/>
      <c r="F297" s="5"/>
      <c r="G297" s="3" t="s">
        <v>1383</v>
      </c>
      <c r="H297" s="3" t="s">
        <v>1384</v>
      </c>
      <c r="I297" s="7" t="s">
        <v>241</v>
      </c>
      <c r="J297" s="8" t="s">
        <v>1385</v>
      </c>
      <c r="K297" s="11"/>
    </row>
    <row r="298" ht="22.5" customHeight="1">
      <c r="A298" s="3" t="s">
        <v>1386</v>
      </c>
      <c r="B298" s="4" t="str">
        <f t="shared" si="1"/>
        <v>Isler, Elisabeth (-)</v>
      </c>
      <c r="C298" s="6" t="s">
        <v>1387</v>
      </c>
      <c r="D298" s="3" t="s">
        <v>719</v>
      </c>
      <c r="E298" s="10"/>
      <c r="F298" s="5"/>
      <c r="G298" s="9"/>
      <c r="H298" s="3" t="s">
        <v>1388</v>
      </c>
      <c r="I298" s="7" t="s">
        <v>16</v>
      </c>
      <c r="J298" s="11"/>
      <c r="K298" s="11"/>
    </row>
    <row r="299" ht="22.5" customHeight="1">
      <c r="A299" s="3" t="s">
        <v>1389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1390</v>
      </c>
      <c r="F299" s="10" t="s">
        <v>1391</v>
      </c>
      <c r="G299" s="9"/>
      <c r="H299" s="3" t="s">
        <v>1392</v>
      </c>
      <c r="I299" s="7" t="s">
        <v>16</v>
      </c>
      <c r="J299" s="8" t="s">
        <v>1393</v>
      </c>
      <c r="K299" s="11"/>
    </row>
    <row r="300" ht="22.5" customHeight="1">
      <c r="A300" s="3" t="s">
        <v>1394</v>
      </c>
      <c r="B300" s="4" t="str">
        <f t="shared" si="1"/>
        <v>Verlorener Sohn,  (-)</v>
      </c>
      <c r="C300" s="6" t="s">
        <v>1395</v>
      </c>
      <c r="D300" s="3"/>
      <c r="E300" s="10"/>
      <c r="F300" s="5"/>
      <c r="G300" s="3" t="s">
        <v>1396</v>
      </c>
      <c r="H300" s="3" t="s">
        <v>1397</v>
      </c>
      <c r="I300" s="7" t="s">
        <v>259</v>
      </c>
      <c r="J300" s="11"/>
      <c r="K300" s="11"/>
    </row>
    <row r="301" ht="22.5" customHeight="1">
      <c r="A301" s="3" t="s">
        <v>1398</v>
      </c>
      <c r="B301" s="4" t="str">
        <f t="shared" si="1"/>
        <v>H. G. Mr. H.,  (-)</v>
      </c>
      <c r="C301" s="6" t="s">
        <v>1399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1400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5">
        <v>1605.0</v>
      </c>
      <c r="F302" s="36">
        <v>1664.0</v>
      </c>
      <c r="G302" s="19" t="s">
        <v>105</v>
      </c>
      <c r="H302" s="19" t="s">
        <v>1401</v>
      </c>
      <c r="I302" s="32" t="s">
        <v>16</v>
      </c>
      <c r="J302" s="37" t="s">
        <v>1402</v>
      </c>
      <c r="K302" s="38"/>
    </row>
    <row r="303" ht="22.5" customHeight="1">
      <c r="A303" s="3" t="s">
        <v>1403</v>
      </c>
      <c r="B303" s="4" t="str">
        <f t="shared" si="1"/>
        <v>Werdmüller, Johann Georg (1616-1678)</v>
      </c>
      <c r="C303" s="6" t="s">
        <v>1404</v>
      </c>
      <c r="D303" s="3" t="s">
        <v>1405</v>
      </c>
      <c r="E303" s="22">
        <v>1616.0</v>
      </c>
      <c r="F303" s="22">
        <v>1678.0</v>
      </c>
      <c r="G303" s="3" t="s">
        <v>1406</v>
      </c>
      <c r="H303" s="3" t="s">
        <v>1407</v>
      </c>
      <c r="I303" s="7" t="s">
        <v>16</v>
      </c>
      <c r="J303" s="8" t="s">
        <v>1408</v>
      </c>
      <c r="K303" s="11"/>
    </row>
    <row r="304" ht="22.5" customHeight="1">
      <c r="A304" s="3" t="s">
        <v>1409</v>
      </c>
      <c r="B304" s="4" t="str">
        <f t="shared" si="1"/>
        <v>Webbe, George (1581-1642)</v>
      </c>
      <c r="C304" s="6" t="s">
        <v>1410</v>
      </c>
      <c r="D304" s="3" t="s">
        <v>1411</v>
      </c>
      <c r="E304" s="10">
        <v>1581.0</v>
      </c>
      <c r="F304" s="5">
        <v>1642.0</v>
      </c>
      <c r="G304" s="3" t="s">
        <v>1412</v>
      </c>
      <c r="H304" s="3" t="s">
        <v>1413</v>
      </c>
      <c r="I304" s="7" t="s">
        <v>16</v>
      </c>
      <c r="J304" s="8" t="s">
        <v>1414</v>
      </c>
      <c r="K304" s="11" t="s">
        <v>1415</v>
      </c>
    </row>
    <row r="305" ht="22.5" customHeight="1">
      <c r="A305" s="3" t="s">
        <v>1416</v>
      </c>
      <c r="B305" s="4" t="str">
        <f t="shared" si="1"/>
        <v>Diebolt, Caspar (1601-1674)</v>
      </c>
      <c r="C305" s="6" t="s">
        <v>1417</v>
      </c>
      <c r="D305" s="3" t="s">
        <v>809</v>
      </c>
      <c r="E305" s="10">
        <v>1601.0</v>
      </c>
      <c r="F305" s="5">
        <v>1674.0</v>
      </c>
      <c r="G305" s="3" t="s">
        <v>1418</v>
      </c>
      <c r="H305" s="3" t="s">
        <v>1419</v>
      </c>
      <c r="I305" s="7" t="s">
        <v>16</v>
      </c>
      <c r="J305" s="8" t="s">
        <v>1420</v>
      </c>
      <c r="K305" s="11"/>
    </row>
    <row r="306" ht="22.5" customHeight="1">
      <c r="A306" s="3" t="s">
        <v>1421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1422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1423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1424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1425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7"/>
    <hyperlink r:id="rId140" ref="J228"/>
    <hyperlink r:id="rId141" ref="J229"/>
    <hyperlink r:id="rId142" ref="J230"/>
    <hyperlink r:id="rId143" ref="J231"/>
    <hyperlink r:id="rId144" ref="J232"/>
    <hyperlink r:id="rId145" ref="J233"/>
    <hyperlink r:id="rId146" ref="J242"/>
    <hyperlink r:id="rId147" ref="J246"/>
    <hyperlink r:id="rId148" ref="J248"/>
    <hyperlink r:id="rId149" ref="J251"/>
    <hyperlink r:id="rId150" ref="J252"/>
    <hyperlink r:id="rId151" ref="J266"/>
    <hyperlink r:id="rId152" ref="J267"/>
    <hyperlink r:id="rId153" ref="J271"/>
    <hyperlink r:id="rId154" ref="J278"/>
    <hyperlink r:id="rId155" ref="J280"/>
    <hyperlink r:id="rId156" ref="K280"/>
    <hyperlink r:id="rId157" ref="J281"/>
    <hyperlink r:id="rId158" ref="J284"/>
    <hyperlink r:id="rId159" ref="J285"/>
    <hyperlink r:id="rId160" ref="J286"/>
    <hyperlink r:id="rId161" ref="J287"/>
    <hyperlink r:id="rId162" ref="J289"/>
    <hyperlink r:id="rId163" ref="J290"/>
    <hyperlink r:id="rId164" ref="J293"/>
    <hyperlink r:id="rId165" ref="J295"/>
    <hyperlink r:id="rId166" ref="J296"/>
    <hyperlink r:id="rId167" ref="J297"/>
    <hyperlink r:id="rId168" location="person_I298580" ref="J299"/>
    <hyperlink r:id="rId169" ref="J302"/>
    <hyperlink r:id="rId170" ref="J303"/>
    <hyperlink r:id="rId171" ref="J304"/>
    <hyperlink r:id="rId172" ref="J305"/>
  </hyperlinks>
  <drawing r:id="rId173"/>
  <tableParts count="1">
    <tablePart r:id="rId17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1426</v>
      </c>
      <c r="B1" s="2" t="s">
        <v>1</v>
      </c>
      <c r="C1" s="1" t="s">
        <v>1427</v>
      </c>
      <c r="D1" s="1" t="s">
        <v>1428</v>
      </c>
      <c r="E1" s="39" t="s">
        <v>1429</v>
      </c>
      <c r="F1" s="1" t="s">
        <v>8</v>
      </c>
      <c r="G1" s="1" t="s">
        <v>10</v>
      </c>
    </row>
    <row r="2" ht="22.5" customHeight="1">
      <c r="A2" s="3" t="s">
        <v>1430</v>
      </c>
      <c r="B2" s="40" t="str">
        <f t="shared" ref="B2:B132" si="1">CONCATENATE(C2)</f>
        <v>Zürich</v>
      </c>
      <c r="C2" s="3" t="s">
        <v>1431</v>
      </c>
      <c r="D2" s="5"/>
      <c r="E2" s="41">
        <v>2657896.0</v>
      </c>
      <c r="F2" s="7" t="s">
        <v>1432</v>
      </c>
      <c r="G2" s="3" t="s">
        <v>1433</v>
      </c>
    </row>
    <row r="3" ht="22.5" customHeight="1">
      <c r="A3" s="3" t="s">
        <v>1434</v>
      </c>
      <c r="B3" s="40" t="str">
        <f t="shared" si="1"/>
        <v>Basel</v>
      </c>
      <c r="C3" s="3" t="s">
        <v>1435</v>
      </c>
      <c r="D3" s="5"/>
      <c r="E3" s="5">
        <v>2661604.0</v>
      </c>
      <c r="F3" s="7" t="s">
        <v>1432</v>
      </c>
      <c r="G3" s="3" t="s">
        <v>1433</v>
      </c>
    </row>
    <row r="4" ht="22.5" customHeight="1">
      <c r="A4" s="3" t="s">
        <v>1436</v>
      </c>
      <c r="B4" s="42" t="str">
        <f t="shared" si="1"/>
        <v>Eidgenossenschaft</v>
      </c>
      <c r="C4" s="3" t="s">
        <v>1437</v>
      </c>
      <c r="D4" s="5" t="s">
        <v>1438</v>
      </c>
      <c r="E4" s="5">
        <v>2658434.0</v>
      </c>
      <c r="F4" s="26"/>
      <c r="G4" s="3" t="s">
        <v>1439</v>
      </c>
    </row>
    <row r="5" ht="22.5" customHeight="1">
      <c r="A5" s="3" t="s">
        <v>1440</v>
      </c>
      <c r="B5" s="42" t="str">
        <f t="shared" si="1"/>
        <v>Limmat</v>
      </c>
      <c r="C5" s="3" t="s">
        <v>1441</v>
      </c>
      <c r="D5" s="43"/>
      <c r="E5" s="5">
        <v>2659887.0</v>
      </c>
      <c r="F5" s="7" t="s">
        <v>1442</v>
      </c>
      <c r="G5" s="3" t="s">
        <v>1443</v>
      </c>
    </row>
    <row r="6" ht="22.5" customHeight="1">
      <c r="A6" s="3" t="s">
        <v>1444</v>
      </c>
      <c r="B6" s="42" t="str">
        <f t="shared" si="1"/>
        <v>Weinfelden</v>
      </c>
      <c r="C6" s="3" t="s">
        <v>1445</v>
      </c>
      <c r="D6" s="43"/>
      <c r="E6" s="5">
        <v>2658036.0</v>
      </c>
      <c r="F6" s="7" t="s">
        <v>1432</v>
      </c>
      <c r="G6" s="9"/>
    </row>
    <row r="7" ht="22.5" customHeight="1">
      <c r="A7" s="3" t="s">
        <v>1446</v>
      </c>
      <c r="B7" s="42" t="str">
        <f t="shared" si="1"/>
        <v>Main</v>
      </c>
      <c r="C7" s="6" t="s">
        <v>1447</v>
      </c>
      <c r="D7" s="43"/>
      <c r="E7" s="5">
        <v>2874265.0</v>
      </c>
      <c r="F7" s="7" t="s">
        <v>1442</v>
      </c>
      <c r="G7" s="3" t="s">
        <v>1448</v>
      </c>
    </row>
    <row r="8" ht="22.5" customHeight="1">
      <c r="A8" s="3" t="s">
        <v>1449</v>
      </c>
      <c r="B8" s="42" t="str">
        <f t="shared" si="1"/>
        <v>Zürichsee</v>
      </c>
      <c r="C8" s="3" t="s">
        <v>1450</v>
      </c>
      <c r="D8" s="43"/>
      <c r="E8" s="5">
        <v>2657892.0</v>
      </c>
      <c r="F8" s="7" t="s">
        <v>1442</v>
      </c>
      <c r="G8" s="9"/>
    </row>
    <row r="9" ht="22.5" customHeight="1">
      <c r="A9" s="3" t="s">
        <v>1451</v>
      </c>
      <c r="B9" s="42" t="str">
        <f t="shared" si="1"/>
        <v>Thalwil</v>
      </c>
      <c r="C9" s="3" t="s">
        <v>1452</v>
      </c>
      <c r="D9" s="43"/>
      <c r="E9" s="5">
        <v>2658388.0</v>
      </c>
      <c r="F9" s="7" t="s">
        <v>1453</v>
      </c>
      <c r="G9" s="3" t="s">
        <v>1454</v>
      </c>
    </row>
    <row r="10" ht="22.5" customHeight="1">
      <c r="A10" s="3" t="s">
        <v>1455</v>
      </c>
      <c r="B10" s="42" t="str">
        <f t="shared" si="1"/>
        <v>Bern</v>
      </c>
      <c r="C10" s="3" t="s">
        <v>1456</v>
      </c>
      <c r="D10" s="43"/>
      <c r="E10" s="5">
        <v>2661552.0</v>
      </c>
      <c r="F10" s="7" t="s">
        <v>1432</v>
      </c>
      <c r="G10" s="3" t="s">
        <v>1433</v>
      </c>
    </row>
    <row r="11" ht="22.5" customHeight="1">
      <c r="A11" s="3" t="s">
        <v>1457</v>
      </c>
      <c r="B11" s="42" t="str">
        <f t="shared" si="1"/>
        <v>Gottstatt</v>
      </c>
      <c r="C11" s="3" t="s">
        <v>1458</v>
      </c>
      <c r="D11" s="43"/>
      <c r="E11" s="43"/>
      <c r="F11" s="15"/>
      <c r="G11" s="9"/>
    </row>
    <row r="12" ht="22.5" customHeight="1">
      <c r="A12" s="3" t="s">
        <v>1459</v>
      </c>
      <c r="B12" s="42" t="str">
        <f t="shared" si="1"/>
        <v>Thorberg</v>
      </c>
      <c r="C12" s="3" t="s">
        <v>1460</v>
      </c>
      <c r="D12" s="43"/>
      <c r="E12" s="5">
        <v>2658379.0</v>
      </c>
      <c r="F12" s="15"/>
      <c r="G12" s="3" t="s">
        <v>1461</v>
      </c>
    </row>
    <row r="13" ht="22.5" customHeight="1">
      <c r="A13" s="3" t="s">
        <v>1462</v>
      </c>
      <c r="B13" s="42" t="str">
        <f t="shared" si="1"/>
        <v>London</v>
      </c>
      <c r="C13" s="3" t="s">
        <v>1463</v>
      </c>
      <c r="D13" s="43"/>
      <c r="E13" s="5">
        <v>2643743.0</v>
      </c>
      <c r="F13" s="7" t="s">
        <v>1432</v>
      </c>
      <c r="G13" s="9"/>
    </row>
    <row r="14" ht="22.5" customHeight="1">
      <c r="A14" s="3" t="s">
        <v>1464</v>
      </c>
      <c r="B14" s="42" t="str">
        <f t="shared" si="1"/>
        <v>England</v>
      </c>
      <c r="C14" s="3" t="s">
        <v>1465</v>
      </c>
      <c r="D14" s="43"/>
      <c r="E14" s="5">
        <v>6269131.0</v>
      </c>
      <c r="F14" s="7" t="s">
        <v>1466</v>
      </c>
      <c r="G14" s="9"/>
    </row>
    <row r="15" ht="22.5" customHeight="1">
      <c r="A15" s="3" t="s">
        <v>1467</v>
      </c>
      <c r="B15" s="42" t="str">
        <f t="shared" si="1"/>
        <v>Bethlehem</v>
      </c>
      <c r="C15" s="3" t="s">
        <v>1468</v>
      </c>
      <c r="D15" s="43"/>
      <c r="E15" s="5">
        <v>284315.0</v>
      </c>
      <c r="F15" s="7" t="s">
        <v>1432</v>
      </c>
      <c r="G15" s="3" t="s">
        <v>1469</v>
      </c>
    </row>
    <row r="16" ht="22.5" customHeight="1">
      <c r="A16" s="3" t="s">
        <v>1470</v>
      </c>
      <c r="B16" s="42" t="str">
        <f t="shared" si="1"/>
        <v>Parnass </v>
      </c>
      <c r="C16" s="3" t="s">
        <v>1471</v>
      </c>
      <c r="D16" s="5" t="s">
        <v>1472</v>
      </c>
      <c r="E16" s="5">
        <v>255730.0</v>
      </c>
      <c r="F16" s="7" t="s">
        <v>1473</v>
      </c>
      <c r="G16" s="6" t="s">
        <v>1474</v>
      </c>
    </row>
    <row r="17" ht="22.5" customHeight="1">
      <c r="A17" s="3" t="s">
        <v>1475</v>
      </c>
      <c r="B17" s="42" t="str">
        <f t="shared" si="1"/>
        <v>Traubenberg</v>
      </c>
      <c r="C17" s="3" t="s">
        <v>1476</v>
      </c>
      <c r="D17" s="43"/>
      <c r="E17" s="43"/>
      <c r="F17" s="15"/>
      <c r="G17" s="3" t="s">
        <v>1477</v>
      </c>
    </row>
    <row r="18" ht="22.5" customHeight="1">
      <c r="A18" s="3" t="s">
        <v>1478</v>
      </c>
      <c r="B18" s="42" t="str">
        <f t="shared" si="1"/>
        <v>Babylon</v>
      </c>
      <c r="C18" s="3" t="s">
        <v>1479</v>
      </c>
      <c r="D18" s="5" t="s">
        <v>1480</v>
      </c>
      <c r="E18" s="5">
        <v>98228.0</v>
      </c>
      <c r="F18" s="7" t="s">
        <v>1432</v>
      </c>
      <c r="G18" s="3" t="s">
        <v>1481</v>
      </c>
    </row>
    <row r="19" ht="22.5" customHeight="1">
      <c r="A19" s="3" t="s">
        <v>1482</v>
      </c>
      <c r="B19" s="42" t="str">
        <f t="shared" si="1"/>
        <v>Canaan</v>
      </c>
      <c r="C19" s="3" t="s">
        <v>1483</v>
      </c>
      <c r="D19" s="5" t="s">
        <v>1484</v>
      </c>
      <c r="E19" s="44"/>
      <c r="F19" s="7" t="s">
        <v>1485</v>
      </c>
      <c r="G19" s="3" t="s">
        <v>1486</v>
      </c>
    </row>
    <row r="20" ht="22.5" customHeight="1">
      <c r="A20" s="3" t="s">
        <v>1487</v>
      </c>
      <c r="B20" s="42" t="str">
        <f t="shared" si="1"/>
        <v>Ägypten</v>
      </c>
      <c r="C20" s="3" t="s">
        <v>1488</v>
      </c>
      <c r="D20" s="5" t="s">
        <v>1489</v>
      </c>
      <c r="E20" s="5">
        <v>357994.0</v>
      </c>
      <c r="F20" s="7" t="s">
        <v>1466</v>
      </c>
      <c r="G20" s="9"/>
    </row>
    <row r="21" ht="22.5" customHeight="1">
      <c r="A21" s="3" t="s">
        <v>1490</v>
      </c>
      <c r="B21" s="42" t="str">
        <f t="shared" si="1"/>
        <v>Hermon</v>
      </c>
      <c r="C21" s="3" t="s">
        <v>1491</v>
      </c>
      <c r="D21" s="43"/>
      <c r="E21" s="5">
        <v>6252331.0</v>
      </c>
      <c r="F21" s="7" t="s">
        <v>1473</v>
      </c>
      <c r="G21" s="3" t="s">
        <v>1492</v>
      </c>
    </row>
    <row r="22" ht="22.5" customHeight="1">
      <c r="A22" s="3" t="s">
        <v>1493</v>
      </c>
      <c r="B22" s="42" t="str">
        <f t="shared" si="1"/>
        <v>Jerusalem</v>
      </c>
      <c r="C22" s="3" t="s">
        <v>1494</v>
      </c>
      <c r="D22" s="5" t="s">
        <v>1495</v>
      </c>
      <c r="E22" s="5">
        <v>281184.0</v>
      </c>
      <c r="F22" s="7" t="s">
        <v>1432</v>
      </c>
      <c r="G22" s="9"/>
    </row>
    <row r="23" ht="22.5" customHeight="1">
      <c r="A23" s="3" t="s">
        <v>1496</v>
      </c>
      <c r="B23" s="42" t="str">
        <f t="shared" si="1"/>
        <v>Jordan</v>
      </c>
      <c r="C23" s="3" t="s">
        <v>1497</v>
      </c>
      <c r="D23" s="43"/>
      <c r="E23" s="5">
        <v>294624.0</v>
      </c>
      <c r="F23" s="7" t="s">
        <v>1442</v>
      </c>
      <c r="G23" s="3" t="s">
        <v>1498</v>
      </c>
    </row>
    <row r="24" ht="22.5" customHeight="1">
      <c r="A24" s="3" t="s">
        <v>1499</v>
      </c>
      <c r="B24" s="42" t="str">
        <f t="shared" si="1"/>
        <v>Rotes Meer</v>
      </c>
      <c r="C24" s="3" t="s">
        <v>1500</v>
      </c>
      <c r="D24" s="43"/>
      <c r="E24" s="5">
        <v>350155.0</v>
      </c>
      <c r="F24" s="7" t="s">
        <v>1442</v>
      </c>
      <c r="G24" s="9"/>
    </row>
    <row r="25" ht="22.5" customHeight="1">
      <c r="A25" s="3" t="s">
        <v>1501</v>
      </c>
      <c r="B25" s="42" t="str">
        <f t="shared" si="1"/>
        <v>Juda</v>
      </c>
      <c r="C25" s="3" t="s">
        <v>1502</v>
      </c>
      <c r="D25" s="43"/>
      <c r="E25" s="43"/>
      <c r="F25" s="15"/>
      <c r="G25" s="3" t="s">
        <v>1503</v>
      </c>
    </row>
    <row r="26" ht="22.5" customHeight="1">
      <c r="A26" s="3" t="s">
        <v>1504</v>
      </c>
      <c r="B26" s="42" t="str">
        <f t="shared" si="1"/>
        <v>Moab</v>
      </c>
      <c r="C26" s="3" t="s">
        <v>1505</v>
      </c>
      <c r="D26" s="43"/>
      <c r="E26" s="43"/>
      <c r="F26" s="15"/>
      <c r="G26" s="3" t="s">
        <v>1506</v>
      </c>
    </row>
    <row r="27" ht="22.5" customHeight="1">
      <c r="A27" s="3" t="s">
        <v>1507</v>
      </c>
      <c r="B27" s="42" t="str">
        <f t="shared" si="1"/>
        <v>Ammon</v>
      </c>
      <c r="C27" s="3" t="s">
        <v>1508</v>
      </c>
      <c r="D27" s="43"/>
      <c r="E27" s="5"/>
      <c r="F27" s="15"/>
      <c r="G27" s="3" t="s">
        <v>1509</v>
      </c>
    </row>
    <row r="28" ht="22.5" customHeight="1">
      <c r="A28" s="3" t="s">
        <v>1510</v>
      </c>
      <c r="B28" s="42" t="str">
        <f t="shared" si="1"/>
        <v>Zion</v>
      </c>
      <c r="C28" s="3" t="s">
        <v>1511</v>
      </c>
      <c r="D28" s="5" t="s">
        <v>1512</v>
      </c>
      <c r="E28" s="5">
        <v>281214.0</v>
      </c>
      <c r="F28" s="7" t="s">
        <v>1473</v>
      </c>
      <c r="G28" s="3" t="s">
        <v>1513</v>
      </c>
    </row>
    <row r="29" ht="22.5" customHeight="1">
      <c r="A29" s="3" t="s">
        <v>1514</v>
      </c>
      <c r="B29" s="42" t="str">
        <f t="shared" si="1"/>
        <v>Assur</v>
      </c>
      <c r="C29" s="3" t="s">
        <v>1515</v>
      </c>
      <c r="D29" s="43"/>
      <c r="E29" s="43"/>
      <c r="F29" s="7" t="s">
        <v>1432</v>
      </c>
      <c r="G29" s="3" t="s">
        <v>1516</v>
      </c>
    </row>
    <row r="30" ht="22.5" customHeight="1">
      <c r="A30" s="3" t="s">
        <v>1517</v>
      </c>
      <c r="B30" s="42" t="str">
        <f t="shared" si="1"/>
        <v>Israel</v>
      </c>
      <c r="C30" s="3" t="s">
        <v>1326</v>
      </c>
      <c r="D30" s="43"/>
      <c r="E30" s="5">
        <v>294640.0</v>
      </c>
      <c r="F30" s="7" t="s">
        <v>1466</v>
      </c>
      <c r="G30" s="3" t="s">
        <v>1518</v>
      </c>
    </row>
    <row r="31" ht="22.5" customHeight="1">
      <c r="A31" s="3" t="s">
        <v>1519</v>
      </c>
      <c r="B31" s="42" t="str">
        <f t="shared" si="1"/>
        <v>Nazaret</v>
      </c>
      <c r="C31" s="3" t="s">
        <v>1520</v>
      </c>
      <c r="D31" s="43"/>
      <c r="E31" s="5">
        <v>294098.0</v>
      </c>
      <c r="F31" s="7" t="s">
        <v>1432</v>
      </c>
      <c r="G31" s="3" t="s">
        <v>1521</v>
      </c>
    </row>
    <row r="32" ht="22.5" customHeight="1">
      <c r="A32" s="3" t="s">
        <v>1522</v>
      </c>
      <c r="B32" s="42" t="str">
        <f t="shared" si="1"/>
        <v>Rom</v>
      </c>
      <c r="C32" s="3" t="s">
        <v>1523</v>
      </c>
      <c r="D32" s="43"/>
      <c r="E32" s="5">
        <v>3169070.0</v>
      </c>
      <c r="F32" s="7" t="s">
        <v>1432</v>
      </c>
      <c r="G32" s="3" t="s">
        <v>1524</v>
      </c>
    </row>
    <row r="33" ht="22.5" customHeight="1">
      <c r="A33" s="3" t="s">
        <v>1525</v>
      </c>
      <c r="B33" s="42" t="str">
        <f t="shared" si="1"/>
        <v>Samaria</v>
      </c>
      <c r="C33" s="3" t="s">
        <v>1526</v>
      </c>
      <c r="D33" s="5" t="s">
        <v>1527</v>
      </c>
      <c r="E33" s="5">
        <v>284584.0</v>
      </c>
      <c r="F33" s="7" t="s">
        <v>1485</v>
      </c>
      <c r="G33" s="3" t="s">
        <v>1528</v>
      </c>
    </row>
    <row r="34" ht="22.5" customHeight="1">
      <c r="A34" s="3" t="s">
        <v>1529</v>
      </c>
      <c r="B34" s="42" t="str">
        <f t="shared" si="1"/>
        <v>Kedronbach</v>
      </c>
      <c r="C34" s="3" t="s">
        <v>1530</v>
      </c>
      <c r="D34" s="43"/>
      <c r="E34" s="44"/>
      <c r="F34" s="7" t="s">
        <v>1442</v>
      </c>
      <c r="G34" s="3" t="s">
        <v>1531</v>
      </c>
    </row>
    <row r="35" ht="22.5" customHeight="1">
      <c r="A35" s="3" t="s">
        <v>1532</v>
      </c>
      <c r="B35" s="42" t="str">
        <f t="shared" si="1"/>
        <v>Garten von Getsemani</v>
      </c>
      <c r="C35" s="3" t="s">
        <v>1533</v>
      </c>
      <c r="D35" s="43"/>
      <c r="E35" s="44"/>
      <c r="F35" s="7" t="s">
        <v>1534</v>
      </c>
      <c r="G35" s="3"/>
    </row>
    <row r="36" ht="22.5" customHeight="1">
      <c r="A36" s="3" t="s">
        <v>1535</v>
      </c>
      <c r="B36" s="42" t="str">
        <f t="shared" si="1"/>
        <v>Urdorf</v>
      </c>
      <c r="C36" s="3" t="s">
        <v>1536</v>
      </c>
      <c r="D36" s="43"/>
      <c r="E36" s="5">
        <v>7287390.0</v>
      </c>
      <c r="F36" s="7" t="s">
        <v>1453</v>
      </c>
      <c r="G36" s="3" t="s">
        <v>1537</v>
      </c>
    </row>
    <row r="37" ht="22.5" customHeight="1">
      <c r="A37" s="3" t="s">
        <v>1538</v>
      </c>
      <c r="B37" s="42" t="str">
        <f t="shared" si="1"/>
        <v>Geiren-Rein</v>
      </c>
      <c r="C37" s="3" t="s">
        <v>1539</v>
      </c>
      <c r="D37" s="43"/>
      <c r="E37" s="44"/>
      <c r="F37" s="7" t="s">
        <v>1442</v>
      </c>
      <c r="G37" s="3"/>
    </row>
    <row r="38" ht="22.5" customHeight="1">
      <c r="A38" s="3" t="s">
        <v>1540</v>
      </c>
      <c r="B38" s="42" t="str">
        <f t="shared" si="1"/>
        <v>Aeugst</v>
      </c>
      <c r="C38" s="3" t="s">
        <v>1541</v>
      </c>
      <c r="D38" s="5" t="s">
        <v>1542</v>
      </c>
      <c r="E38" s="5">
        <v>7285035.0</v>
      </c>
      <c r="F38" s="7" t="s">
        <v>1453</v>
      </c>
      <c r="G38" s="3" t="s">
        <v>1543</v>
      </c>
    </row>
    <row r="39" ht="22.5" customHeight="1">
      <c r="A39" s="3" t="s">
        <v>1544</v>
      </c>
      <c r="B39" s="42" t="str">
        <f t="shared" si="1"/>
        <v>Riedt</v>
      </c>
      <c r="C39" s="3" t="s">
        <v>1545</v>
      </c>
      <c r="D39" s="43"/>
      <c r="E39" s="43"/>
      <c r="F39" s="15"/>
      <c r="G39" s="3"/>
    </row>
    <row r="40" ht="22.5" customHeight="1">
      <c r="A40" s="3" t="s">
        <v>1546</v>
      </c>
      <c r="B40" s="42" t="str">
        <f t="shared" si="1"/>
        <v>Europa</v>
      </c>
      <c r="C40" s="3" t="s">
        <v>1547</v>
      </c>
      <c r="D40" s="43"/>
      <c r="E40" s="5">
        <v>6255148.0</v>
      </c>
      <c r="F40" s="7" t="s">
        <v>1548</v>
      </c>
      <c r="G40" s="3"/>
    </row>
    <row r="41" ht="22.5" customHeight="1">
      <c r="A41" s="3" t="s">
        <v>1549</v>
      </c>
      <c r="B41" s="42" t="str">
        <f t="shared" si="1"/>
        <v>Osir</v>
      </c>
      <c r="C41" s="3" t="s">
        <v>1550</v>
      </c>
      <c r="D41" s="5" t="s">
        <v>1551</v>
      </c>
      <c r="E41" s="44"/>
      <c r="F41" s="7" t="s">
        <v>1534</v>
      </c>
      <c r="G41" s="3" t="s">
        <v>1552</v>
      </c>
    </row>
    <row r="42" ht="22.5" customHeight="1">
      <c r="A42" s="3" t="s">
        <v>1553</v>
      </c>
      <c r="B42" s="42" t="str">
        <f t="shared" si="1"/>
        <v>Basadingen</v>
      </c>
      <c r="C42" s="3" t="s">
        <v>1554</v>
      </c>
      <c r="D42" s="43"/>
      <c r="E42" s="5">
        <v>2661605.0</v>
      </c>
      <c r="F42" s="15"/>
      <c r="G42" s="3" t="s">
        <v>1555</v>
      </c>
    </row>
    <row r="43" ht="22.5" customHeight="1">
      <c r="A43" s="3" t="s">
        <v>1556</v>
      </c>
      <c r="B43" s="42" t="str">
        <f t="shared" si="1"/>
        <v>Diessenhofen</v>
      </c>
      <c r="C43" s="3" t="s">
        <v>1557</v>
      </c>
      <c r="D43" s="43"/>
      <c r="E43" s="5">
        <v>7285651.0</v>
      </c>
      <c r="F43" s="7" t="s">
        <v>1453</v>
      </c>
      <c r="G43" s="3" t="s">
        <v>1558</v>
      </c>
    </row>
    <row r="44" ht="22.5" customHeight="1">
      <c r="A44" s="3" t="s">
        <v>1559</v>
      </c>
      <c r="B44" s="42" t="str">
        <f t="shared" si="1"/>
        <v>Rhein</v>
      </c>
      <c r="C44" s="3" t="s">
        <v>1560</v>
      </c>
      <c r="D44" s="43"/>
      <c r="E44" s="5">
        <v>2748179.0</v>
      </c>
      <c r="F44" s="7" t="s">
        <v>1442</v>
      </c>
      <c r="G44" s="3" t="s">
        <v>1443</v>
      </c>
    </row>
    <row r="45" ht="22.5" customHeight="1">
      <c r="A45" s="3" t="s">
        <v>1561</v>
      </c>
      <c r="B45" s="42" t="str">
        <f t="shared" si="1"/>
        <v>Arabisches Reich</v>
      </c>
      <c r="C45" s="3" t="s">
        <v>1562</v>
      </c>
      <c r="D45" s="43"/>
      <c r="E45" s="43"/>
      <c r="F45" s="15"/>
      <c r="G45" s="3" t="s">
        <v>1563</v>
      </c>
    </row>
    <row r="46" ht="22.5" customHeight="1">
      <c r="A46" s="3" t="s">
        <v>1564</v>
      </c>
      <c r="B46" s="42" t="str">
        <f t="shared" si="1"/>
        <v>Libanon</v>
      </c>
      <c r="C46" s="3" t="s">
        <v>1565</v>
      </c>
      <c r="D46" s="43"/>
      <c r="E46" s="5">
        <v>272103.0</v>
      </c>
      <c r="F46" s="7" t="s">
        <v>1466</v>
      </c>
      <c r="G46" s="3" t="s">
        <v>1566</v>
      </c>
    </row>
    <row r="47" ht="22.5" customHeight="1">
      <c r="A47" s="3" t="s">
        <v>1567</v>
      </c>
      <c r="B47" s="42" t="str">
        <f t="shared" si="1"/>
        <v>Emmaus</v>
      </c>
      <c r="C47" s="3" t="s">
        <v>1568</v>
      </c>
      <c r="D47" s="43"/>
      <c r="E47" s="43"/>
      <c r="F47" s="7" t="s">
        <v>1534</v>
      </c>
      <c r="G47" s="3" t="s">
        <v>1569</v>
      </c>
    </row>
    <row r="48" ht="22.5" customHeight="1">
      <c r="A48" s="3" t="s">
        <v>1570</v>
      </c>
      <c r="B48" s="42" t="str">
        <f t="shared" si="1"/>
        <v>Helikon</v>
      </c>
      <c r="C48" s="3" t="s">
        <v>1571</v>
      </c>
      <c r="D48" s="43"/>
      <c r="E48" s="5">
        <v>262733.0</v>
      </c>
      <c r="F48" s="7" t="s">
        <v>1473</v>
      </c>
      <c r="G48" s="3" t="s">
        <v>1572</v>
      </c>
    </row>
    <row r="49" ht="22.5" customHeight="1">
      <c r="A49" s="3" t="s">
        <v>1573</v>
      </c>
      <c r="B49" s="42" t="str">
        <f t="shared" si="1"/>
        <v>Pindos</v>
      </c>
      <c r="C49" s="3" t="s">
        <v>1574</v>
      </c>
      <c r="D49" s="43"/>
      <c r="E49" s="5">
        <v>363258.0</v>
      </c>
      <c r="F49" s="7" t="s">
        <v>1473</v>
      </c>
      <c r="G49" s="3" t="s">
        <v>1575</v>
      </c>
    </row>
    <row r="50" ht="22.5" customHeight="1">
      <c r="A50" s="3" t="s">
        <v>1576</v>
      </c>
      <c r="B50" s="42" t="str">
        <f t="shared" si="1"/>
        <v>Neckar</v>
      </c>
      <c r="C50" s="3" t="s">
        <v>1577</v>
      </c>
      <c r="D50" s="43"/>
      <c r="E50" s="5">
        <v>2866784.0</v>
      </c>
      <c r="F50" s="7" t="s">
        <v>1442</v>
      </c>
      <c r="G50" s="3" t="s">
        <v>1578</v>
      </c>
    </row>
    <row r="51" ht="22.5" customHeight="1">
      <c r="A51" s="3" t="s">
        <v>1579</v>
      </c>
      <c r="B51" s="42" t="str">
        <f t="shared" si="1"/>
        <v>Kurpfalz</v>
      </c>
      <c r="C51" s="3" t="s">
        <v>1580</v>
      </c>
      <c r="D51" s="43"/>
      <c r="E51" s="44"/>
      <c r="F51" s="7" t="s">
        <v>1466</v>
      </c>
      <c r="G51" s="3" t="s">
        <v>1581</v>
      </c>
    </row>
    <row r="52" ht="22.5" customHeight="1">
      <c r="A52" s="3" t="s">
        <v>1582</v>
      </c>
      <c r="B52" s="42" t="str">
        <f t="shared" si="1"/>
        <v>Eglisau</v>
      </c>
      <c r="C52" s="3" t="s">
        <v>1583</v>
      </c>
      <c r="D52" s="43"/>
      <c r="E52" s="5">
        <v>7285707.0</v>
      </c>
      <c r="F52" s="7" t="s">
        <v>1453</v>
      </c>
      <c r="G52" s="3" t="s">
        <v>1454</v>
      </c>
    </row>
    <row r="53" ht="22.5" customHeight="1">
      <c r="A53" s="3" t="s">
        <v>1584</v>
      </c>
      <c r="B53" s="42" t="str">
        <f t="shared" si="1"/>
        <v>Altenklingen</v>
      </c>
      <c r="C53" s="3" t="s">
        <v>1585</v>
      </c>
      <c r="D53" s="43"/>
      <c r="E53" s="5">
        <v>1.1571272E7</v>
      </c>
      <c r="F53" s="15"/>
      <c r="G53" s="3" t="s">
        <v>1555</v>
      </c>
    </row>
    <row r="54" ht="22.5" customHeight="1">
      <c r="A54" s="3" t="s">
        <v>1586</v>
      </c>
      <c r="B54" s="42" t="str">
        <f t="shared" si="1"/>
        <v>Altorff</v>
      </c>
      <c r="C54" s="3" t="s">
        <v>1587</v>
      </c>
      <c r="D54" s="43"/>
      <c r="E54" s="43"/>
      <c r="F54" s="15"/>
      <c r="G54" s="3"/>
    </row>
    <row r="55" ht="22.5" customHeight="1">
      <c r="A55" s="3" t="s">
        <v>1588</v>
      </c>
      <c r="B55" s="42" t="str">
        <f t="shared" si="1"/>
        <v>Glarus</v>
      </c>
      <c r="C55" s="3" t="s">
        <v>1589</v>
      </c>
      <c r="D55" s="43"/>
      <c r="E55" s="5">
        <v>2660593.0</v>
      </c>
      <c r="F55" s="15"/>
      <c r="G55" s="3" t="s">
        <v>1433</v>
      </c>
    </row>
    <row r="56" ht="22.5" customHeight="1">
      <c r="A56" s="3" t="s">
        <v>1590</v>
      </c>
      <c r="B56" s="42" t="str">
        <f t="shared" si="1"/>
        <v>Reformierte Kirche Berg am Irchel</v>
      </c>
      <c r="C56" s="3" t="s">
        <v>1591</v>
      </c>
      <c r="D56" s="5" t="s">
        <v>1592</v>
      </c>
      <c r="E56" s="43"/>
      <c r="F56" s="15"/>
      <c r="G56" s="3"/>
    </row>
    <row r="57" ht="22.5" customHeight="1">
      <c r="A57" s="3" t="s">
        <v>1593</v>
      </c>
      <c r="B57" s="42" t="str">
        <f t="shared" si="1"/>
        <v>Sodom</v>
      </c>
      <c r="C57" s="3" t="s">
        <v>1594</v>
      </c>
      <c r="D57" s="43"/>
      <c r="E57" s="43"/>
      <c r="F57" s="7" t="s">
        <v>1534</v>
      </c>
      <c r="G57" s="3" t="s">
        <v>1595</v>
      </c>
    </row>
    <row r="58" ht="22.5" customHeight="1">
      <c r="A58" s="3" t="s">
        <v>1596</v>
      </c>
      <c r="B58" s="42" t="str">
        <f t="shared" si="1"/>
        <v>Haus zur Sonnenblume</v>
      </c>
      <c r="C58" s="3" t="s">
        <v>1597</v>
      </c>
      <c r="D58" s="43"/>
      <c r="E58" s="43"/>
      <c r="F58" s="15"/>
      <c r="G58" s="3"/>
    </row>
    <row r="59" ht="22.5" customHeight="1">
      <c r="A59" s="3" t="s">
        <v>1598</v>
      </c>
      <c r="B59" s="42" t="str">
        <f t="shared" si="1"/>
        <v>Geissturm</v>
      </c>
      <c r="C59" s="3" t="s">
        <v>1599</v>
      </c>
      <c r="D59" s="43"/>
      <c r="E59" s="44"/>
      <c r="F59" s="7" t="s">
        <v>1600</v>
      </c>
      <c r="G59" s="3" t="s">
        <v>1601</v>
      </c>
    </row>
    <row r="60" ht="22.5" customHeight="1">
      <c r="A60" s="3" t="s">
        <v>1602</v>
      </c>
      <c r="B60" s="42" t="str">
        <f t="shared" si="1"/>
        <v>Konstantinopel</v>
      </c>
      <c r="C60" s="3" t="s">
        <v>1603</v>
      </c>
      <c r="D60" s="5" t="s">
        <v>1604</v>
      </c>
      <c r="E60" s="5">
        <v>745044.0</v>
      </c>
      <c r="F60" s="7" t="s">
        <v>1432</v>
      </c>
      <c r="G60" s="3"/>
    </row>
    <row r="61" ht="22.5" customHeight="1">
      <c r="A61" s="3" t="s">
        <v>1605</v>
      </c>
      <c r="B61" s="42" t="str">
        <f t="shared" si="1"/>
        <v>Stein am Rhein</v>
      </c>
      <c r="C61" s="3" t="s">
        <v>1606</v>
      </c>
      <c r="D61" s="43"/>
      <c r="E61" s="5">
        <v>2658489.0</v>
      </c>
      <c r="F61" s="7" t="s">
        <v>1432</v>
      </c>
      <c r="G61" s="3"/>
    </row>
    <row r="62" ht="22.5" customHeight="1">
      <c r="A62" s="3" t="s">
        <v>1607</v>
      </c>
      <c r="B62" s="42" t="str">
        <f t="shared" si="1"/>
        <v>Marburg</v>
      </c>
      <c r="C62" s="3" t="s">
        <v>1608</v>
      </c>
      <c r="D62" s="43"/>
      <c r="E62" s="5">
        <v>2873759.0</v>
      </c>
      <c r="F62" s="7" t="s">
        <v>1432</v>
      </c>
      <c r="G62" s="3" t="s">
        <v>1609</v>
      </c>
    </row>
    <row r="63" ht="22.5" customHeight="1">
      <c r="A63" s="3" t="s">
        <v>1610</v>
      </c>
      <c r="B63" s="42" t="str">
        <f t="shared" si="1"/>
        <v>Elbląg</v>
      </c>
      <c r="C63" s="3" t="s">
        <v>1611</v>
      </c>
      <c r="D63" s="5" t="s">
        <v>1612</v>
      </c>
      <c r="E63" s="5">
        <v>3099759.0</v>
      </c>
      <c r="F63" s="7" t="s">
        <v>1432</v>
      </c>
      <c r="G63" s="3" t="s">
        <v>1613</v>
      </c>
    </row>
    <row r="64" ht="22.5" customHeight="1">
      <c r="A64" s="3" t="s">
        <v>1614</v>
      </c>
      <c r="B64" s="42" t="str">
        <f t="shared" si="1"/>
        <v>Preussen</v>
      </c>
      <c r="C64" s="3" t="s">
        <v>1615</v>
      </c>
      <c r="D64" s="43"/>
      <c r="E64" s="44"/>
      <c r="F64" s="7" t="s">
        <v>1466</v>
      </c>
      <c r="G64" s="3" t="s">
        <v>1616</v>
      </c>
    </row>
    <row r="65" ht="22.5" customHeight="1">
      <c r="A65" s="3" t="s">
        <v>1617</v>
      </c>
      <c r="B65" s="42" t="str">
        <f t="shared" si="1"/>
        <v>Heilbäder Baden</v>
      </c>
      <c r="C65" s="3" t="s">
        <v>1618</v>
      </c>
      <c r="D65" s="43"/>
      <c r="E65" s="43"/>
      <c r="F65" s="15"/>
      <c r="G65" s="3"/>
    </row>
    <row r="66" ht="22.5" customHeight="1">
      <c r="A66" s="3" t="s">
        <v>1619</v>
      </c>
      <c r="B66" s="42" t="str">
        <f t="shared" si="1"/>
        <v>Bad Schinznach</v>
      </c>
      <c r="C66" s="3" t="s">
        <v>1620</v>
      </c>
      <c r="D66" s="43"/>
      <c r="E66" s="43"/>
      <c r="F66" s="15"/>
      <c r="G66" s="3" t="s">
        <v>1621</v>
      </c>
    </row>
    <row r="67" ht="22.5" customHeight="1">
      <c r="A67" s="3" t="s">
        <v>1622</v>
      </c>
      <c r="B67" s="42" t="str">
        <f t="shared" si="1"/>
        <v>Girenbad</v>
      </c>
      <c r="C67" s="3" t="s">
        <v>1623</v>
      </c>
      <c r="D67" s="5" t="s">
        <v>1624</v>
      </c>
      <c r="E67" s="43"/>
      <c r="F67" s="15"/>
      <c r="G67" s="3" t="s">
        <v>1625</v>
      </c>
    </row>
    <row r="68" ht="22.5" customHeight="1">
      <c r="A68" s="3" t="s">
        <v>1626</v>
      </c>
      <c r="B68" s="42" t="str">
        <f t="shared" si="1"/>
        <v>Wängibad</v>
      </c>
      <c r="C68" s="3" t="s">
        <v>1627</v>
      </c>
      <c r="D68" s="5" t="s">
        <v>1628</v>
      </c>
      <c r="E68" s="43"/>
      <c r="F68" s="15"/>
      <c r="G68" s="8" t="s">
        <v>1629</v>
      </c>
    </row>
    <row r="69" ht="22.5" customHeight="1">
      <c r="A69" s="3" t="s">
        <v>1630</v>
      </c>
      <c r="B69" s="42" t="str">
        <f t="shared" si="1"/>
        <v>Aeugst am Albis</v>
      </c>
      <c r="C69" s="19" t="s">
        <v>1542</v>
      </c>
      <c r="D69" s="45"/>
      <c r="E69" s="46"/>
      <c r="F69" s="32" t="s">
        <v>1453</v>
      </c>
      <c r="G69" s="19" t="s">
        <v>640</v>
      </c>
    </row>
    <row r="70" ht="22.5" customHeight="1">
      <c r="A70" s="3" t="s">
        <v>1631</v>
      </c>
      <c r="B70" s="42" t="str">
        <f t="shared" si="1"/>
        <v>Bassersdorf</v>
      </c>
      <c r="C70" s="3" t="s">
        <v>1632</v>
      </c>
      <c r="D70" s="43"/>
      <c r="E70" s="5">
        <v>7285165.0</v>
      </c>
      <c r="F70" s="7" t="s">
        <v>1453</v>
      </c>
      <c r="G70" s="3" t="s">
        <v>1454</v>
      </c>
    </row>
    <row r="71" ht="22.5" customHeight="1">
      <c r="A71" s="3" t="s">
        <v>1633</v>
      </c>
      <c r="B71" s="42" t="str">
        <f t="shared" si="1"/>
        <v>Hauptwil</v>
      </c>
      <c r="C71" s="3" t="s">
        <v>1634</v>
      </c>
      <c r="D71" s="5" t="s">
        <v>1635</v>
      </c>
      <c r="E71" s="5">
        <v>7286036.0</v>
      </c>
      <c r="F71" s="7" t="s">
        <v>1453</v>
      </c>
      <c r="G71" s="3" t="s">
        <v>1558</v>
      </c>
    </row>
    <row r="72" ht="22.5" customHeight="1">
      <c r="A72" s="3" t="s">
        <v>1636</v>
      </c>
      <c r="B72" s="42" t="str">
        <f t="shared" si="1"/>
        <v>Schaffhausen</v>
      </c>
      <c r="C72" s="3" t="s">
        <v>1637</v>
      </c>
      <c r="D72" s="43"/>
      <c r="E72" s="43"/>
      <c r="F72" s="15"/>
      <c r="G72" s="3"/>
    </row>
    <row r="73" ht="22.5" customHeight="1">
      <c r="A73" s="3" t="s">
        <v>1638</v>
      </c>
      <c r="B73" s="42" t="str">
        <f t="shared" si="1"/>
        <v>Wädenswil</v>
      </c>
      <c r="C73" s="3" t="s">
        <v>1639</v>
      </c>
      <c r="D73" s="43"/>
      <c r="E73" s="5">
        <v>7287513.0</v>
      </c>
      <c r="F73" s="7" t="s">
        <v>1640</v>
      </c>
      <c r="G73" s="3"/>
    </row>
    <row r="74" ht="22.5" customHeight="1">
      <c r="A74" s="3" t="s">
        <v>1641</v>
      </c>
      <c r="B74" s="42" t="str">
        <f t="shared" si="1"/>
        <v>Freiamt</v>
      </c>
      <c r="C74" s="3" t="s">
        <v>1642</v>
      </c>
      <c r="D74" s="43"/>
      <c r="E74" s="44"/>
      <c r="F74" s="7" t="s">
        <v>1640</v>
      </c>
      <c r="G74" s="3"/>
    </row>
    <row r="75" ht="22.5" customHeight="1">
      <c r="A75" s="3" t="s">
        <v>1643</v>
      </c>
      <c r="B75" s="42" t="str">
        <f t="shared" si="1"/>
        <v>Grüningen</v>
      </c>
      <c r="C75" s="3" t="s">
        <v>1644</v>
      </c>
      <c r="D75" s="43"/>
      <c r="E75" s="44"/>
      <c r="F75" s="7" t="s">
        <v>1640</v>
      </c>
      <c r="G75" s="3"/>
    </row>
    <row r="76" ht="22.5" customHeight="1">
      <c r="A76" s="3" t="s">
        <v>1645</v>
      </c>
      <c r="B76" s="42" t="str">
        <f t="shared" si="1"/>
        <v>Kefikon</v>
      </c>
      <c r="C76" s="3" t="s">
        <v>1646</v>
      </c>
      <c r="D76" s="43"/>
      <c r="E76" s="5">
        <v>2660178.0</v>
      </c>
      <c r="F76" s="7" t="s">
        <v>1453</v>
      </c>
      <c r="G76" s="3"/>
    </row>
    <row r="77" ht="22.5" customHeight="1">
      <c r="A77" s="3" t="s">
        <v>1647</v>
      </c>
      <c r="B77" s="42" t="str">
        <f t="shared" si="1"/>
        <v>Maienfeld</v>
      </c>
      <c r="C77" s="3" t="s">
        <v>1648</v>
      </c>
      <c r="D77" s="43"/>
      <c r="E77" s="5">
        <v>7286419.0</v>
      </c>
      <c r="F77" s="7" t="s">
        <v>1640</v>
      </c>
      <c r="G77" s="3"/>
    </row>
    <row r="78" ht="22.5" customHeight="1">
      <c r="A78" s="3" t="s">
        <v>1649</v>
      </c>
      <c r="B78" s="42" t="str">
        <f t="shared" si="1"/>
        <v>Schloss Greifensee</v>
      </c>
      <c r="C78" s="3" t="s">
        <v>1650</v>
      </c>
      <c r="D78" s="43"/>
      <c r="E78" s="10" t="s">
        <v>1651</v>
      </c>
      <c r="F78" s="7" t="s">
        <v>1600</v>
      </c>
      <c r="G78" s="3"/>
    </row>
    <row r="79" ht="22.5" customHeight="1">
      <c r="A79" s="3" t="s">
        <v>1652</v>
      </c>
      <c r="B79" s="42" t="str">
        <f t="shared" si="1"/>
        <v>Lindenhof (Zürich)</v>
      </c>
      <c r="C79" s="3" t="s">
        <v>1653</v>
      </c>
      <c r="D79" s="43"/>
      <c r="E79" s="43"/>
      <c r="F79" s="15"/>
      <c r="G79" s="3" t="s">
        <v>1654</v>
      </c>
    </row>
    <row r="80" ht="22.5" customHeight="1">
      <c r="A80" s="3" t="s">
        <v>1655</v>
      </c>
      <c r="B80" s="42" t="str">
        <f t="shared" si="1"/>
        <v>Galg-Brunnen (Zürich)</v>
      </c>
      <c r="C80" s="3" t="s">
        <v>1656</v>
      </c>
      <c r="D80" s="43"/>
      <c r="E80" s="43"/>
      <c r="F80" s="15"/>
      <c r="G80" s="3"/>
    </row>
    <row r="81" ht="22.5" customHeight="1">
      <c r="A81" s="3" t="s">
        <v>1657</v>
      </c>
      <c r="B81" s="42" t="str">
        <f t="shared" si="1"/>
        <v>Kornhaus (Zürich)</v>
      </c>
      <c r="C81" s="3" t="s">
        <v>1658</v>
      </c>
      <c r="D81" s="43"/>
      <c r="E81" s="44"/>
      <c r="F81" s="7" t="s">
        <v>1600</v>
      </c>
      <c r="G81" s="3"/>
    </row>
    <row r="82" ht="22.5" customHeight="1">
      <c r="A82" s="3" t="s">
        <v>1659</v>
      </c>
      <c r="B82" s="42" t="str">
        <f t="shared" si="1"/>
        <v>Sparrenberg (Zürich)</v>
      </c>
      <c r="C82" s="3" t="s">
        <v>1660</v>
      </c>
      <c r="D82" s="43"/>
      <c r="E82" s="5">
        <v>6295386.0</v>
      </c>
      <c r="F82" s="7" t="s">
        <v>1600</v>
      </c>
      <c r="G82" s="3"/>
    </row>
    <row r="83" ht="22.5" customHeight="1">
      <c r="A83" s="3" t="s">
        <v>1661</v>
      </c>
      <c r="B83" s="42" t="str">
        <f t="shared" si="1"/>
        <v>Thurgau</v>
      </c>
      <c r="C83" s="3" t="s">
        <v>1662</v>
      </c>
      <c r="D83" s="43"/>
      <c r="E83" s="5">
        <v>2658372.0</v>
      </c>
      <c r="F83" s="15"/>
      <c r="G83" s="3"/>
    </row>
    <row r="84" ht="22.5" customHeight="1">
      <c r="A84" s="3" t="s">
        <v>1663</v>
      </c>
      <c r="B84" s="42" t="str">
        <f t="shared" si="1"/>
        <v>Niederlande</v>
      </c>
      <c r="C84" s="3" t="s">
        <v>1664</v>
      </c>
      <c r="D84" s="43"/>
      <c r="E84" s="5">
        <v>2750405.0</v>
      </c>
      <c r="F84" s="7" t="s">
        <v>1466</v>
      </c>
      <c r="G84" s="3"/>
    </row>
    <row r="85" ht="22.5" customHeight="1">
      <c r="A85" s="3" t="s">
        <v>1665</v>
      </c>
      <c r="B85" s="42" t="str">
        <f t="shared" si="1"/>
        <v>Holland</v>
      </c>
      <c r="C85" s="3" t="s">
        <v>1666</v>
      </c>
      <c r="D85" s="43"/>
      <c r="E85" s="44"/>
      <c r="F85" s="7" t="s">
        <v>1466</v>
      </c>
      <c r="G85" s="3" t="s">
        <v>1667</v>
      </c>
    </row>
    <row r="86" ht="22.5" customHeight="1">
      <c r="A86" s="3" t="s">
        <v>1668</v>
      </c>
      <c r="B86" s="42" t="str">
        <f t="shared" si="1"/>
        <v>Wigoltingen</v>
      </c>
      <c r="C86" s="3" t="s">
        <v>1669</v>
      </c>
      <c r="D86" s="43"/>
      <c r="E86" s="43"/>
      <c r="F86" s="15"/>
      <c r="G86" s="3"/>
    </row>
    <row r="87" ht="22.5" customHeight="1">
      <c r="A87" s="3" t="s">
        <v>1670</v>
      </c>
      <c r="B87" s="42" t="str">
        <f t="shared" si="1"/>
        <v>Kastalische Quelle</v>
      </c>
      <c r="C87" s="3" t="s">
        <v>1671</v>
      </c>
      <c r="D87" s="43"/>
      <c r="E87" s="44"/>
      <c r="F87" s="7" t="s">
        <v>1442</v>
      </c>
      <c r="G87" s="3" t="s">
        <v>1672</v>
      </c>
    </row>
    <row r="88" ht="22.5" customHeight="1">
      <c r="A88" s="3" t="s">
        <v>1673</v>
      </c>
      <c r="B88" s="42" t="str">
        <f t="shared" si="1"/>
        <v>Lägern</v>
      </c>
      <c r="C88" s="3" t="s">
        <v>1674</v>
      </c>
      <c r="D88" s="43"/>
      <c r="E88" s="5">
        <v>2660058.0</v>
      </c>
      <c r="F88" s="7" t="s">
        <v>1473</v>
      </c>
      <c r="G88" s="3" t="s">
        <v>1675</v>
      </c>
    </row>
    <row r="89" ht="22.5" customHeight="1">
      <c r="A89" s="3" t="s">
        <v>1676</v>
      </c>
      <c r="B89" s="42" t="str">
        <f t="shared" si="1"/>
        <v>Texel</v>
      </c>
      <c r="C89" s="3" t="s">
        <v>1677</v>
      </c>
      <c r="D89" s="43"/>
      <c r="E89" s="5">
        <v>2746385.0</v>
      </c>
      <c r="F89" s="15"/>
      <c r="G89" s="3" t="s">
        <v>1678</v>
      </c>
    </row>
    <row r="90" ht="22.5" customHeight="1">
      <c r="A90" s="3" t="s">
        <v>1679</v>
      </c>
      <c r="B90" s="42" t="str">
        <f t="shared" si="1"/>
        <v>Vlieland</v>
      </c>
      <c r="C90" s="3" t="s">
        <v>1680</v>
      </c>
      <c r="D90" s="43"/>
      <c r="E90" s="5">
        <v>2745420.0</v>
      </c>
      <c r="F90" s="15"/>
      <c r="G90" s="3" t="s">
        <v>1678</v>
      </c>
    </row>
    <row r="91" ht="22.5" customHeight="1">
      <c r="A91" s="3" t="s">
        <v>1681</v>
      </c>
      <c r="B91" s="42" t="str">
        <f t="shared" si="1"/>
        <v>Indien</v>
      </c>
      <c r="C91" s="3" t="s">
        <v>1682</v>
      </c>
      <c r="D91" s="43"/>
      <c r="E91" s="5">
        <v>1269750.0</v>
      </c>
      <c r="F91" s="7" t="s">
        <v>1466</v>
      </c>
      <c r="G91" s="3"/>
    </row>
    <row r="92" ht="22.5" customHeight="1">
      <c r="A92" s="3" t="s">
        <v>1683</v>
      </c>
      <c r="B92" s="42" t="str">
        <f t="shared" si="1"/>
        <v>Wien</v>
      </c>
      <c r="C92" s="3" t="s">
        <v>1684</v>
      </c>
      <c r="D92" s="43"/>
      <c r="E92" s="5">
        <v>2761369.0</v>
      </c>
      <c r="F92" s="7" t="s">
        <v>1432</v>
      </c>
      <c r="G92" s="3"/>
    </row>
    <row r="93" ht="22.5" customHeight="1">
      <c r="A93" s="3" t="s">
        <v>1685</v>
      </c>
      <c r="B93" s="42" t="str">
        <f t="shared" si="1"/>
        <v>Deutschland</v>
      </c>
      <c r="C93" s="3" t="s">
        <v>1686</v>
      </c>
      <c r="D93" s="43"/>
      <c r="E93" s="5">
        <v>2921044.0</v>
      </c>
      <c r="F93" s="7" t="s">
        <v>1466</v>
      </c>
      <c r="G93" s="3"/>
    </row>
    <row r="94" ht="22.5" customHeight="1">
      <c r="A94" s="3" t="s">
        <v>1687</v>
      </c>
      <c r="B94" s="42" t="str">
        <f t="shared" si="1"/>
        <v>Ölberg</v>
      </c>
      <c r="C94" s="6" t="s">
        <v>1688</v>
      </c>
      <c r="D94" s="43"/>
      <c r="E94" s="5">
        <v>281573.0</v>
      </c>
      <c r="F94" s="7" t="s">
        <v>1473</v>
      </c>
      <c r="G94" s="3"/>
    </row>
    <row r="95" ht="22.5" customHeight="1">
      <c r="A95" s="3" t="s">
        <v>1689</v>
      </c>
      <c r="B95" s="42" t="str">
        <f t="shared" si="1"/>
        <v>Dietikon</v>
      </c>
      <c r="C95" s="3" t="s">
        <v>1690</v>
      </c>
      <c r="D95" s="43"/>
      <c r="E95" s="5">
        <v>7285652.0</v>
      </c>
      <c r="F95" s="7" t="s">
        <v>1453</v>
      </c>
      <c r="G95" s="3" t="s">
        <v>1454</v>
      </c>
    </row>
    <row r="96" ht="22.5" customHeight="1">
      <c r="A96" s="3" t="s">
        <v>1691</v>
      </c>
      <c r="B96" s="42" t="str">
        <f t="shared" si="1"/>
        <v>Winterthur</v>
      </c>
      <c r="C96" s="3" t="s">
        <v>1692</v>
      </c>
      <c r="D96" s="43"/>
      <c r="E96" s="5">
        <v>2657970.0</v>
      </c>
      <c r="F96" s="7" t="s">
        <v>1432</v>
      </c>
      <c r="G96" s="3"/>
    </row>
    <row r="97" ht="22.5" customHeight="1">
      <c r="A97" s="3" t="s">
        <v>1693</v>
      </c>
      <c r="B97" s="42" t="str">
        <f t="shared" si="1"/>
        <v>Pfalz</v>
      </c>
      <c r="C97" s="3" t="s">
        <v>1694</v>
      </c>
      <c r="D97" s="43"/>
      <c r="E97" s="44"/>
      <c r="F97" s="7" t="s">
        <v>1485</v>
      </c>
      <c r="G97" s="3"/>
    </row>
    <row r="98" ht="22.5" customHeight="1">
      <c r="A98" s="3" t="s">
        <v>1695</v>
      </c>
      <c r="B98" s="42" t="str">
        <f t="shared" si="1"/>
        <v>Edenkoben</v>
      </c>
      <c r="C98" s="3" t="s">
        <v>1696</v>
      </c>
      <c r="D98" s="43"/>
      <c r="E98" s="5">
        <v>2933410.0</v>
      </c>
      <c r="F98" s="7" t="s">
        <v>1432</v>
      </c>
      <c r="G98" s="3" t="s">
        <v>1697</v>
      </c>
    </row>
    <row r="99" ht="22.5" customHeight="1">
      <c r="A99" s="3" t="s">
        <v>1698</v>
      </c>
      <c r="B99" s="42" t="str">
        <f t="shared" si="1"/>
        <v>Wüste Juda</v>
      </c>
      <c r="C99" s="3" t="s">
        <v>1699</v>
      </c>
      <c r="D99" s="5" t="s">
        <v>1700</v>
      </c>
      <c r="E99" s="44"/>
      <c r="F99" s="7" t="s">
        <v>1485</v>
      </c>
      <c r="G99" s="3" t="s">
        <v>1701</v>
      </c>
    </row>
    <row r="100" ht="22.5" customHeight="1">
      <c r="A100" s="3" t="s">
        <v>1702</v>
      </c>
      <c r="B100" s="42" t="str">
        <f t="shared" si="1"/>
        <v>Greifensee</v>
      </c>
      <c r="C100" s="3" t="s">
        <v>1703</v>
      </c>
      <c r="D100" s="43"/>
      <c r="E100" s="5">
        <v>7285971.0</v>
      </c>
      <c r="F100" s="7" t="s">
        <v>1640</v>
      </c>
      <c r="G100" s="3"/>
    </row>
    <row r="101" ht="22.5" customHeight="1">
      <c r="A101" s="3" t="s">
        <v>1704</v>
      </c>
      <c r="B101" s="42" t="str">
        <f t="shared" si="1"/>
        <v>Lichtensteig</v>
      </c>
      <c r="C101" s="3" t="s">
        <v>1705</v>
      </c>
      <c r="D101" s="43"/>
      <c r="E101" s="5">
        <v>7286345.0</v>
      </c>
      <c r="F101" s="7" t="s">
        <v>1453</v>
      </c>
      <c r="G101" s="3" t="s">
        <v>1706</v>
      </c>
    </row>
    <row r="102" ht="22.5" customHeight="1">
      <c r="A102" s="3" t="s">
        <v>1707</v>
      </c>
      <c r="B102" s="42" t="str">
        <f t="shared" si="1"/>
        <v>Golgotha</v>
      </c>
      <c r="C102" s="3" t="s">
        <v>1708</v>
      </c>
      <c r="D102" s="5" t="s">
        <v>1709</v>
      </c>
      <c r="E102" s="43"/>
      <c r="F102" s="7" t="s">
        <v>1534</v>
      </c>
      <c r="G102" s="3" t="s">
        <v>1710</v>
      </c>
    </row>
    <row r="103" ht="22.5" customHeight="1">
      <c r="A103" s="3" t="s">
        <v>1711</v>
      </c>
      <c r="B103" s="42" t="str">
        <f t="shared" si="1"/>
        <v>Heidelberg</v>
      </c>
      <c r="C103" s="3" t="s">
        <v>1712</v>
      </c>
      <c r="D103" s="43"/>
      <c r="E103" s="5">
        <v>2907911.0</v>
      </c>
      <c r="F103" s="7" t="s">
        <v>1432</v>
      </c>
      <c r="G103" s="3"/>
    </row>
    <row r="104" ht="22.5" customHeight="1">
      <c r="A104" s="3" t="s">
        <v>1713</v>
      </c>
      <c r="B104" s="42" t="str">
        <f t="shared" si="1"/>
        <v>Lindenhofbrunnen</v>
      </c>
      <c r="C104" s="3" t="s">
        <v>1714</v>
      </c>
      <c r="D104" s="43"/>
      <c r="E104" s="44"/>
      <c r="F104" s="7" t="s">
        <v>1600</v>
      </c>
      <c r="G104" s="3"/>
    </row>
    <row r="105" ht="22.5" customHeight="1">
      <c r="A105" s="3" t="s">
        <v>1715</v>
      </c>
      <c r="B105" s="42" t="str">
        <f t="shared" si="1"/>
        <v>Osmanisches Reich</v>
      </c>
      <c r="C105" s="3" t="s">
        <v>1716</v>
      </c>
      <c r="D105" s="43"/>
      <c r="E105" s="44"/>
      <c r="F105" s="7" t="s">
        <v>1466</v>
      </c>
      <c r="G105" s="3"/>
    </row>
    <row r="106" ht="22.5" customHeight="1">
      <c r="A106" s="3" t="s">
        <v>1717</v>
      </c>
      <c r="B106" s="42" t="str">
        <f t="shared" si="1"/>
        <v>Frauenfeld</v>
      </c>
      <c r="C106" s="3" t="s">
        <v>1718</v>
      </c>
      <c r="D106" s="43"/>
      <c r="E106" s="5">
        <v>2660727.0</v>
      </c>
      <c r="F106" s="7" t="s">
        <v>1432</v>
      </c>
      <c r="G106" s="3"/>
    </row>
    <row r="107" ht="22.5" customHeight="1">
      <c r="A107" s="3" t="s">
        <v>1719</v>
      </c>
      <c r="B107" s="42" t="str">
        <f t="shared" si="1"/>
        <v>Regensdorf</v>
      </c>
      <c r="C107" s="3" t="s">
        <v>1720</v>
      </c>
      <c r="D107" s="43"/>
      <c r="E107" s="5">
        <v>7286870.0</v>
      </c>
      <c r="F107" s="7" t="s">
        <v>1453</v>
      </c>
      <c r="G107" s="3" t="s">
        <v>1454</v>
      </c>
    </row>
    <row r="108" ht="22.5" customHeight="1">
      <c r="A108" s="3" t="s">
        <v>1721</v>
      </c>
      <c r="B108" s="42" t="str">
        <f t="shared" si="1"/>
        <v>Leiden</v>
      </c>
      <c r="C108" s="3" t="s">
        <v>1722</v>
      </c>
      <c r="D108" s="43"/>
      <c r="E108" s="5">
        <v>2751773.0</v>
      </c>
      <c r="F108" s="7" t="s">
        <v>1432</v>
      </c>
      <c r="G108" s="3"/>
    </row>
    <row r="109" ht="22.5" customHeight="1">
      <c r="A109" s="3" t="s">
        <v>1723</v>
      </c>
      <c r="B109" s="42" t="str">
        <f t="shared" si="1"/>
        <v/>
      </c>
      <c r="C109" s="3"/>
      <c r="D109" s="43"/>
      <c r="E109" s="43"/>
      <c r="F109" s="15"/>
      <c r="G109" s="3"/>
    </row>
    <row r="110" ht="22.5" customHeight="1">
      <c r="A110" s="3" t="s">
        <v>1724</v>
      </c>
      <c r="B110" s="42" t="str">
        <f t="shared" si="1"/>
        <v/>
      </c>
      <c r="C110" s="3"/>
      <c r="D110" s="43"/>
      <c r="E110" s="43"/>
      <c r="F110" s="15"/>
      <c r="G110" s="3"/>
    </row>
    <row r="111" ht="22.5" customHeight="1">
      <c r="A111" s="3" t="s">
        <v>1725</v>
      </c>
      <c r="B111" s="42" t="str">
        <f t="shared" si="1"/>
        <v/>
      </c>
      <c r="C111" s="3"/>
      <c r="D111" s="43"/>
      <c r="E111" s="43"/>
      <c r="F111" s="15"/>
      <c r="G111" s="3"/>
    </row>
    <row r="112" ht="22.5" customHeight="1">
      <c r="A112" s="3" t="s">
        <v>1726</v>
      </c>
      <c r="B112" s="42" t="str">
        <f t="shared" si="1"/>
        <v/>
      </c>
      <c r="C112" s="3"/>
      <c r="D112" s="43"/>
      <c r="E112" s="43"/>
      <c r="F112" s="15"/>
      <c r="G112" s="3"/>
    </row>
    <row r="113" ht="22.5" customHeight="1">
      <c r="A113" s="3" t="s">
        <v>1727</v>
      </c>
      <c r="B113" s="42" t="str">
        <f t="shared" si="1"/>
        <v/>
      </c>
      <c r="C113" s="3"/>
      <c r="D113" s="43"/>
      <c r="E113" s="43"/>
      <c r="F113" s="15"/>
      <c r="G113" s="3"/>
    </row>
    <row r="114" ht="22.5" customHeight="1">
      <c r="A114" s="3" t="s">
        <v>1728</v>
      </c>
      <c r="B114" s="42" t="str">
        <f t="shared" si="1"/>
        <v/>
      </c>
      <c r="C114" s="3"/>
      <c r="D114" s="43"/>
      <c r="E114" s="43"/>
      <c r="F114" s="15"/>
      <c r="G114" s="3"/>
    </row>
    <row r="115" ht="22.5" customHeight="1">
      <c r="A115" s="3" t="s">
        <v>1729</v>
      </c>
      <c r="B115" s="42" t="str">
        <f t="shared" si="1"/>
        <v/>
      </c>
      <c r="C115" s="3"/>
      <c r="D115" s="43"/>
      <c r="E115" s="43"/>
      <c r="F115" s="15"/>
      <c r="G115" s="3"/>
    </row>
    <row r="116" ht="22.5" customHeight="1">
      <c r="A116" s="3" t="s">
        <v>1730</v>
      </c>
      <c r="B116" s="42" t="str">
        <f t="shared" si="1"/>
        <v/>
      </c>
      <c r="C116" s="3"/>
      <c r="D116" s="43"/>
      <c r="E116" s="43"/>
      <c r="F116" s="15"/>
      <c r="G116" s="3"/>
    </row>
    <row r="117" ht="22.5" customHeight="1">
      <c r="A117" s="3" t="s">
        <v>1731</v>
      </c>
      <c r="B117" s="42" t="str">
        <f t="shared" si="1"/>
        <v/>
      </c>
      <c r="C117" s="3"/>
      <c r="D117" s="43"/>
      <c r="E117" s="43"/>
      <c r="F117" s="15"/>
      <c r="G117" s="3"/>
    </row>
    <row r="118" ht="22.5" customHeight="1">
      <c r="A118" s="3" t="s">
        <v>1732</v>
      </c>
      <c r="B118" s="42" t="str">
        <f t="shared" si="1"/>
        <v/>
      </c>
      <c r="C118" s="3"/>
      <c r="D118" s="43"/>
      <c r="E118" s="43"/>
      <c r="F118" s="15"/>
      <c r="G118" s="3"/>
    </row>
    <row r="119" ht="22.5" customHeight="1">
      <c r="A119" s="3" t="s">
        <v>1733</v>
      </c>
      <c r="B119" s="42" t="str">
        <f t="shared" si="1"/>
        <v/>
      </c>
      <c r="C119" s="3"/>
      <c r="D119" s="43"/>
      <c r="E119" s="43"/>
      <c r="F119" s="15"/>
      <c r="G119" s="3"/>
    </row>
    <row r="120" ht="22.5" customHeight="1">
      <c r="A120" s="3" t="s">
        <v>1734</v>
      </c>
      <c r="B120" s="42" t="str">
        <f t="shared" si="1"/>
        <v/>
      </c>
      <c r="C120" s="3"/>
      <c r="D120" s="43"/>
      <c r="E120" s="43"/>
      <c r="F120" s="15"/>
      <c r="G120" s="3"/>
    </row>
    <row r="121" ht="22.5" customHeight="1">
      <c r="A121" s="3" t="s">
        <v>1735</v>
      </c>
      <c r="B121" s="42" t="str">
        <f t="shared" si="1"/>
        <v/>
      </c>
      <c r="C121" s="3"/>
      <c r="D121" s="43"/>
      <c r="E121" s="43"/>
      <c r="F121" s="15"/>
      <c r="G121" s="3"/>
    </row>
    <row r="122" ht="22.5" customHeight="1">
      <c r="A122" s="3" t="s">
        <v>1736</v>
      </c>
      <c r="B122" s="42" t="str">
        <f t="shared" si="1"/>
        <v/>
      </c>
      <c r="C122" s="3"/>
      <c r="D122" s="43"/>
      <c r="E122" s="43"/>
      <c r="F122" s="15"/>
      <c r="G122" s="3"/>
    </row>
    <row r="123" ht="22.5" customHeight="1">
      <c r="A123" s="3" t="s">
        <v>1737</v>
      </c>
      <c r="B123" s="42" t="str">
        <f t="shared" si="1"/>
        <v/>
      </c>
      <c r="C123" s="3"/>
      <c r="D123" s="43"/>
      <c r="E123" s="43"/>
      <c r="F123" s="15"/>
      <c r="G123" s="3"/>
    </row>
    <row r="124" ht="22.5" customHeight="1">
      <c r="A124" s="3" t="s">
        <v>1738</v>
      </c>
      <c r="B124" s="42" t="str">
        <f t="shared" si="1"/>
        <v/>
      </c>
      <c r="C124" s="3"/>
      <c r="D124" s="43"/>
      <c r="E124" s="43"/>
      <c r="F124" s="15"/>
      <c r="G124" s="3"/>
    </row>
    <row r="125" ht="22.5" customHeight="1">
      <c r="A125" s="3" t="s">
        <v>1739</v>
      </c>
      <c r="B125" s="42" t="str">
        <f t="shared" si="1"/>
        <v/>
      </c>
      <c r="C125" s="3"/>
      <c r="D125" s="43"/>
      <c r="E125" s="43"/>
      <c r="F125" s="15"/>
      <c r="G125" s="3"/>
    </row>
    <row r="126" ht="22.5" customHeight="1">
      <c r="A126" s="3" t="s">
        <v>1740</v>
      </c>
      <c r="B126" s="42" t="str">
        <f t="shared" si="1"/>
        <v/>
      </c>
      <c r="C126" s="3"/>
      <c r="D126" s="43"/>
      <c r="E126" s="43"/>
      <c r="F126" s="15"/>
      <c r="G126" s="3"/>
    </row>
    <row r="127" ht="22.5" customHeight="1">
      <c r="A127" s="3" t="s">
        <v>1741</v>
      </c>
      <c r="B127" s="42" t="str">
        <f t="shared" si="1"/>
        <v/>
      </c>
      <c r="C127" s="3"/>
      <c r="D127" s="43"/>
      <c r="E127" s="43"/>
      <c r="F127" s="15"/>
      <c r="G127" s="3"/>
    </row>
    <row r="128" ht="22.5" customHeight="1">
      <c r="A128" s="3" t="s">
        <v>1742</v>
      </c>
      <c r="B128" s="42" t="str">
        <f t="shared" si="1"/>
        <v/>
      </c>
      <c r="C128" s="3"/>
      <c r="D128" s="43"/>
      <c r="E128" s="43"/>
      <c r="F128" s="15"/>
      <c r="G128" s="3"/>
    </row>
    <row r="129" ht="22.5" customHeight="1">
      <c r="A129" s="3" t="s">
        <v>1743</v>
      </c>
      <c r="B129" s="42" t="str">
        <f t="shared" si="1"/>
        <v/>
      </c>
      <c r="C129" s="3"/>
      <c r="D129" s="43"/>
      <c r="E129" s="43"/>
      <c r="F129" s="15"/>
      <c r="G129" s="3"/>
    </row>
    <row r="130" ht="22.5" customHeight="1">
      <c r="A130" s="3" t="s">
        <v>1744</v>
      </c>
      <c r="B130" s="42" t="str">
        <f t="shared" si="1"/>
        <v/>
      </c>
      <c r="C130" s="3"/>
      <c r="D130" s="43"/>
      <c r="E130" s="43"/>
      <c r="F130" s="15"/>
      <c r="G130" s="3"/>
    </row>
    <row r="131" ht="22.5" customHeight="1">
      <c r="A131" s="3" t="s">
        <v>1745</v>
      </c>
      <c r="B131" s="42" t="str">
        <f t="shared" si="1"/>
        <v/>
      </c>
      <c r="C131" s="3"/>
      <c r="D131" s="43"/>
      <c r="E131" s="43"/>
      <c r="F131" s="15"/>
      <c r="G131" s="3"/>
    </row>
    <row r="132" ht="22.5" customHeight="1">
      <c r="A132" s="3" t="s">
        <v>1746</v>
      </c>
      <c r="B132" s="42" t="str">
        <f t="shared" si="1"/>
        <v/>
      </c>
      <c r="C132" s="3"/>
      <c r="D132" s="43"/>
      <c r="E132" s="43"/>
      <c r="F132" s="15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1747</v>
      </c>
      <c r="B1" s="2" t="s">
        <v>1</v>
      </c>
      <c r="C1" s="1" t="s">
        <v>1748</v>
      </c>
      <c r="D1" s="1" t="s">
        <v>1749</v>
      </c>
      <c r="E1" s="1" t="s">
        <v>1750</v>
      </c>
      <c r="F1" s="1" t="s">
        <v>1751</v>
      </c>
      <c r="G1" s="1" t="s">
        <v>1752</v>
      </c>
      <c r="H1" s="1" t="s">
        <v>8</v>
      </c>
      <c r="I1" s="1" t="s">
        <v>10</v>
      </c>
    </row>
    <row r="2" ht="22.5" customHeight="1">
      <c r="A2" s="3" t="s">
        <v>1753</v>
      </c>
      <c r="B2" s="47" t="str">
        <f t="shared" ref="B2:B40" si="1">CONCATENATE(C2)</f>
        <v>Teutsche Gedichte</v>
      </c>
      <c r="C2" s="3" t="s">
        <v>1754</v>
      </c>
      <c r="D2" s="5" t="s">
        <v>1755</v>
      </c>
      <c r="E2" s="3" t="s">
        <v>1756</v>
      </c>
      <c r="F2" s="5" t="s">
        <v>1431</v>
      </c>
      <c r="G2" s="3" t="s">
        <v>1757</v>
      </c>
      <c r="H2" s="7" t="s">
        <v>1758</v>
      </c>
      <c r="I2" s="9"/>
    </row>
    <row r="3" ht="22.5" customHeight="1">
      <c r="A3" s="3" t="s">
        <v>1759</v>
      </c>
      <c r="B3" s="47" t="str">
        <f t="shared" si="1"/>
        <v>Die Krafft der Gottseligkeit</v>
      </c>
      <c r="C3" s="6" t="s">
        <v>1760</v>
      </c>
      <c r="D3" s="5" t="s">
        <v>1761</v>
      </c>
      <c r="E3" s="3" t="s">
        <v>1762</v>
      </c>
      <c r="F3" s="5" t="s">
        <v>1431</v>
      </c>
      <c r="G3" s="3" t="s">
        <v>1763</v>
      </c>
      <c r="H3" s="7" t="s">
        <v>1764</v>
      </c>
      <c r="I3" s="12" t="s">
        <v>1765</v>
      </c>
    </row>
    <row r="4" ht="22.5" customHeight="1">
      <c r="A4" s="3" t="s">
        <v>1766</v>
      </c>
      <c r="B4" s="47" t="str">
        <f t="shared" si="1"/>
        <v>Archetypi homiliarum in quatuor evangelia dn. nostri Iesu Christi</v>
      </c>
      <c r="C4" s="3" t="s">
        <v>1767</v>
      </c>
      <c r="D4" s="5" t="s">
        <v>1768</v>
      </c>
      <c r="E4" s="3" t="s">
        <v>1769</v>
      </c>
      <c r="F4" s="5" t="s">
        <v>1431</v>
      </c>
      <c r="G4" s="3" t="s">
        <v>1770</v>
      </c>
      <c r="H4" s="15"/>
      <c r="I4" s="8" t="s">
        <v>1771</v>
      </c>
    </row>
    <row r="5" ht="22.5" customHeight="1">
      <c r="A5" s="3" t="s">
        <v>1772</v>
      </c>
      <c r="B5" s="4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1773</v>
      </c>
      <c r="D5" s="5" t="s">
        <v>1774</v>
      </c>
      <c r="E5" s="3" t="s">
        <v>1775</v>
      </c>
      <c r="F5" s="5" t="s">
        <v>1776</v>
      </c>
      <c r="G5" s="9"/>
      <c r="H5" s="15"/>
      <c r="I5" s="9"/>
    </row>
    <row r="6" ht="22.5" customHeight="1">
      <c r="A6" s="3" t="s">
        <v>1777</v>
      </c>
      <c r="B6" s="47" t="str">
        <f t="shared" si="1"/>
        <v>Hundert christliche Fäst-Predigen</v>
      </c>
      <c r="C6" s="3" t="s">
        <v>1778</v>
      </c>
      <c r="D6" s="5" t="s">
        <v>1779</v>
      </c>
      <c r="E6" s="3" t="s">
        <v>1780</v>
      </c>
      <c r="F6" s="5" t="s">
        <v>1431</v>
      </c>
      <c r="G6" s="3" t="s">
        <v>1781</v>
      </c>
      <c r="H6" s="15"/>
      <c r="I6" s="21" t="s">
        <v>1782</v>
      </c>
    </row>
    <row r="7" ht="22.5" customHeight="1">
      <c r="A7" s="3" t="s">
        <v>1783</v>
      </c>
      <c r="B7" s="4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1784</v>
      </c>
      <c r="D7" s="5" t="s">
        <v>1785</v>
      </c>
      <c r="E7" s="3" t="s">
        <v>1786</v>
      </c>
      <c r="F7" s="5" t="s">
        <v>1435</v>
      </c>
      <c r="G7" s="3" t="s">
        <v>1787</v>
      </c>
      <c r="H7" s="15"/>
      <c r="I7" s="21" t="s">
        <v>1788</v>
      </c>
    </row>
    <row r="8" ht="22.5" customHeight="1">
      <c r="A8" s="3" t="s">
        <v>1789</v>
      </c>
      <c r="B8" s="47" t="str">
        <f t="shared" si="1"/>
        <v>Ruh und Fridensübung</v>
      </c>
      <c r="C8" s="6" t="s">
        <v>1790</v>
      </c>
      <c r="D8" s="5" t="s">
        <v>1791</v>
      </c>
      <c r="E8" s="3" t="s">
        <v>1792</v>
      </c>
      <c r="F8" s="5" t="s">
        <v>1431</v>
      </c>
      <c r="G8" s="3" t="s">
        <v>1793</v>
      </c>
      <c r="H8" s="15"/>
      <c r="I8" s="8" t="s">
        <v>1794</v>
      </c>
    </row>
    <row r="9" ht="22.5" customHeight="1">
      <c r="A9" s="3" t="s">
        <v>1795</v>
      </c>
      <c r="B9" s="4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1796</v>
      </c>
      <c r="D9" s="5" t="s">
        <v>1797</v>
      </c>
      <c r="E9" s="3" t="s">
        <v>1798</v>
      </c>
      <c r="F9" s="5" t="s">
        <v>1431</v>
      </c>
      <c r="G9" s="3" t="s">
        <v>1799</v>
      </c>
      <c r="H9" s="15"/>
      <c r="I9" s="8" t="s">
        <v>1800</v>
      </c>
    </row>
    <row r="10" ht="22.5" customHeight="1">
      <c r="A10" s="3" t="s">
        <v>1801</v>
      </c>
      <c r="B10" s="4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1802</v>
      </c>
      <c r="D10" s="5" t="s">
        <v>1803</v>
      </c>
      <c r="E10" s="3" t="s">
        <v>1804</v>
      </c>
      <c r="F10" s="5" t="s">
        <v>1431</v>
      </c>
      <c r="G10" s="3" t="s">
        <v>1805</v>
      </c>
      <c r="H10" s="15"/>
      <c r="I10" s="21" t="s">
        <v>1806</v>
      </c>
    </row>
    <row r="11" ht="22.5" customHeight="1">
      <c r="A11" s="3" t="s">
        <v>1807</v>
      </c>
      <c r="B11" s="47" t="str">
        <f t="shared" si="1"/>
        <v>Architectura von Vestungen</v>
      </c>
      <c r="C11" s="3" t="s">
        <v>1808</v>
      </c>
      <c r="D11" s="5" t="s">
        <v>1809</v>
      </c>
      <c r="E11" s="3" t="s">
        <v>1762</v>
      </c>
      <c r="F11" s="5" t="s">
        <v>1431</v>
      </c>
      <c r="G11" s="3" t="s">
        <v>1810</v>
      </c>
      <c r="H11" s="15"/>
      <c r="I11" s="12" t="s">
        <v>1811</v>
      </c>
    </row>
    <row r="12" ht="22.5" customHeight="1">
      <c r="A12" s="3" t="s">
        <v>1812</v>
      </c>
      <c r="B12" s="47" t="str">
        <f t="shared" si="1"/>
        <v>Buech der Freunden Stammen</v>
      </c>
      <c r="C12" s="3" t="s">
        <v>1813</v>
      </c>
      <c r="D12" s="43"/>
      <c r="E12" s="9"/>
      <c r="F12" s="43"/>
      <c r="G12" s="9"/>
      <c r="H12" s="15"/>
      <c r="I12" s="9"/>
    </row>
    <row r="13" ht="22.5" customHeight="1">
      <c r="A13" s="3" t="s">
        <v>1814</v>
      </c>
      <c r="B13" s="47" t="str">
        <f t="shared" si="1"/>
        <v>Christen-Spiegel, das ist, Bedenkliche Erinnerungen über die Beruoffspflichten aller Ständen </v>
      </c>
      <c r="C13" s="3" t="s">
        <v>1815</v>
      </c>
      <c r="D13" s="5" t="s">
        <v>1816</v>
      </c>
      <c r="E13" s="3" t="s">
        <v>1817</v>
      </c>
      <c r="F13" s="5" t="s">
        <v>1431</v>
      </c>
      <c r="G13" s="3" t="s">
        <v>1818</v>
      </c>
      <c r="H13" s="15"/>
      <c r="I13" s="21" t="s">
        <v>1819</v>
      </c>
    </row>
    <row r="14" ht="22.5" customHeight="1">
      <c r="A14" s="3" t="s">
        <v>1820</v>
      </c>
      <c r="B14" s="47" t="str">
        <f t="shared" si="1"/>
        <v>Viergeticht</v>
      </c>
      <c r="C14" s="3" t="s">
        <v>1821</v>
      </c>
      <c r="D14" s="43"/>
      <c r="E14" s="9"/>
      <c r="F14" s="43"/>
      <c r="G14" s="9"/>
      <c r="H14" s="15"/>
      <c r="I14" s="9"/>
    </row>
    <row r="15" ht="22.5" customHeight="1">
      <c r="A15" s="3" t="s">
        <v>1822</v>
      </c>
      <c r="B15" s="47" t="str">
        <f t="shared" si="1"/>
        <v>Regentenspiegel</v>
      </c>
      <c r="C15" s="3" t="s">
        <v>1823</v>
      </c>
      <c r="D15" s="43"/>
      <c r="E15" s="9"/>
      <c r="F15" s="43"/>
      <c r="G15" s="9"/>
      <c r="H15" s="15"/>
      <c r="I15" s="9"/>
    </row>
    <row r="16" ht="22.5" customHeight="1">
      <c r="A16" s="3" t="s">
        <v>1824</v>
      </c>
      <c r="B16" s="47" t="str">
        <f t="shared" si="1"/>
        <v>Türckischer Jammerspiegel</v>
      </c>
      <c r="C16" s="3" t="s">
        <v>1825</v>
      </c>
      <c r="D16" s="43"/>
      <c r="E16" s="3" t="s">
        <v>1826</v>
      </c>
      <c r="F16" s="43"/>
      <c r="G16" s="9"/>
      <c r="H16" s="15"/>
      <c r="I16" s="9"/>
    </row>
    <row r="17" ht="22.5" customHeight="1">
      <c r="A17" s="3" t="s">
        <v>1827</v>
      </c>
      <c r="B17" s="47" t="str">
        <f t="shared" si="1"/>
        <v>Theatrum concionum sacr. topicum</v>
      </c>
      <c r="C17" s="3" t="s">
        <v>1828</v>
      </c>
      <c r="D17" s="5" t="s">
        <v>1829</v>
      </c>
      <c r="E17" s="3" t="s">
        <v>1830</v>
      </c>
      <c r="F17" s="5" t="s">
        <v>1435</v>
      </c>
      <c r="G17" s="3" t="s">
        <v>1831</v>
      </c>
      <c r="H17" s="15"/>
      <c r="I17" s="21" t="s">
        <v>1832</v>
      </c>
    </row>
    <row r="18" ht="22.5" customHeight="1">
      <c r="A18" s="3" t="s">
        <v>1833</v>
      </c>
      <c r="B18" s="47" t="str">
        <f t="shared" si="1"/>
        <v>Seelen-Angst Christi</v>
      </c>
      <c r="C18" s="6" t="s">
        <v>1834</v>
      </c>
      <c r="D18" s="5" t="s">
        <v>1835</v>
      </c>
      <c r="E18" s="3" t="s">
        <v>1826</v>
      </c>
      <c r="F18" s="5" t="s">
        <v>1431</v>
      </c>
      <c r="G18" s="3" t="s">
        <v>1836</v>
      </c>
      <c r="H18" s="15"/>
      <c r="I18" s="12" t="s">
        <v>1837</v>
      </c>
    </row>
    <row r="19" ht="22.5" customHeight="1">
      <c r="A19" s="3" t="s">
        <v>1838</v>
      </c>
      <c r="B19" s="47" t="str">
        <f t="shared" si="1"/>
        <v>Dichterische Versuchgabe</v>
      </c>
      <c r="C19" s="6" t="s">
        <v>1839</v>
      </c>
      <c r="D19" s="5" t="s">
        <v>1840</v>
      </c>
      <c r="E19" s="3" t="s">
        <v>1841</v>
      </c>
      <c r="F19" s="5" t="s">
        <v>1435</v>
      </c>
      <c r="G19" s="3" t="s">
        <v>1842</v>
      </c>
      <c r="H19" s="15"/>
      <c r="I19" s="21" t="s">
        <v>1843</v>
      </c>
    </row>
    <row r="20" ht="22.5" customHeight="1">
      <c r="A20" s="3" t="s">
        <v>1844</v>
      </c>
      <c r="B20" s="47" t="str">
        <f t="shared" si="1"/>
        <v>Kriegs-Büchlein</v>
      </c>
      <c r="C20" s="3" t="s">
        <v>1845</v>
      </c>
      <c r="D20" s="5" t="s">
        <v>1846</v>
      </c>
      <c r="E20" s="3" t="s">
        <v>1847</v>
      </c>
      <c r="F20" s="5" t="s">
        <v>1431</v>
      </c>
      <c r="G20" s="3" t="s">
        <v>1848</v>
      </c>
      <c r="H20" s="15"/>
      <c r="I20" s="21" t="s">
        <v>1849</v>
      </c>
    </row>
    <row r="21" ht="22.5" customHeight="1">
      <c r="A21" s="3" t="s">
        <v>1850</v>
      </c>
      <c r="B21" s="47" t="str">
        <f t="shared" si="1"/>
        <v>Außerleßne Psalmen Davids</v>
      </c>
      <c r="C21" s="6" t="s">
        <v>1851</v>
      </c>
      <c r="D21" s="5" t="s">
        <v>1852</v>
      </c>
      <c r="E21" s="3" t="s">
        <v>1817</v>
      </c>
      <c r="F21" s="5" t="s">
        <v>1431</v>
      </c>
      <c r="G21" s="3" t="s">
        <v>1853</v>
      </c>
      <c r="H21" s="15"/>
      <c r="I21" s="8" t="s">
        <v>1854</v>
      </c>
    </row>
    <row r="22" ht="22.5" customHeight="1">
      <c r="A22" s="3" t="s">
        <v>1855</v>
      </c>
      <c r="B22" s="47" t="str">
        <f t="shared" si="1"/>
        <v>Sterbensspiegel/ das ist sonnenklare Vorstellung menschlicher Nichtigkeit durch alle Staend und Geschlechter</v>
      </c>
      <c r="C22" s="3" t="s">
        <v>1856</v>
      </c>
      <c r="D22" s="5" t="s">
        <v>1857</v>
      </c>
      <c r="E22" s="3" t="s">
        <v>1786</v>
      </c>
      <c r="F22" s="5" t="s">
        <v>1431</v>
      </c>
      <c r="G22" s="3" t="s">
        <v>1853</v>
      </c>
      <c r="H22" s="15"/>
      <c r="I22" s="21" t="s">
        <v>1858</v>
      </c>
    </row>
    <row r="23" ht="22.5" customHeight="1">
      <c r="A23" s="3" t="s">
        <v>1859</v>
      </c>
      <c r="B23" s="4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1860</v>
      </c>
      <c r="D23" s="5" t="s">
        <v>1861</v>
      </c>
      <c r="E23" s="3" t="s">
        <v>1862</v>
      </c>
      <c r="F23" s="5" t="s">
        <v>1431</v>
      </c>
      <c r="G23" s="3" t="s">
        <v>1853</v>
      </c>
      <c r="H23" s="15"/>
      <c r="I23" s="21" t="s">
        <v>1863</v>
      </c>
    </row>
    <row r="24" ht="22.5" customHeight="1">
      <c r="A24" s="3" t="s">
        <v>1864</v>
      </c>
      <c r="B24" s="47" t="str">
        <f t="shared" si="1"/>
        <v>Augspiegels Wahrer Religion Erster Theil</v>
      </c>
      <c r="C24" s="6" t="s">
        <v>1865</v>
      </c>
      <c r="D24" s="5" t="s">
        <v>1866</v>
      </c>
      <c r="E24" s="3" t="s">
        <v>1867</v>
      </c>
      <c r="F24" s="5" t="s">
        <v>1868</v>
      </c>
      <c r="G24" s="3" t="s">
        <v>1869</v>
      </c>
      <c r="H24" s="15"/>
      <c r="I24" s="21" t="s">
        <v>1870</v>
      </c>
    </row>
    <row r="25" ht="22.5" customHeight="1">
      <c r="A25" s="3" t="s">
        <v>1871</v>
      </c>
      <c r="B25" s="47" t="str">
        <f t="shared" si="1"/>
        <v>De kracht der Godsaligheyt</v>
      </c>
      <c r="C25" s="3" t="s">
        <v>1872</v>
      </c>
      <c r="D25" s="5" t="s">
        <v>1873</v>
      </c>
      <c r="E25" s="3" t="s">
        <v>1874</v>
      </c>
      <c r="F25" s="5" t="s">
        <v>1875</v>
      </c>
      <c r="G25" s="3" t="s">
        <v>1876</v>
      </c>
      <c r="H25" s="15"/>
      <c r="I25" s="9"/>
    </row>
    <row r="26" ht="22.5" customHeight="1">
      <c r="A26" s="3" t="s">
        <v>1877</v>
      </c>
      <c r="B26" s="47" t="str">
        <f t="shared" si="1"/>
        <v>Christlicher Wandersmann</v>
      </c>
      <c r="C26" s="3" t="s">
        <v>1878</v>
      </c>
      <c r="D26" s="5" t="s">
        <v>1879</v>
      </c>
      <c r="E26" s="3" t="s">
        <v>1880</v>
      </c>
      <c r="F26" s="5" t="s">
        <v>1431</v>
      </c>
      <c r="G26" s="3" t="s">
        <v>1881</v>
      </c>
      <c r="H26" s="15"/>
      <c r="I26" s="12" t="s">
        <v>1882</v>
      </c>
    </row>
    <row r="27" ht="22.5" customHeight="1">
      <c r="A27" s="3" t="s">
        <v>1883</v>
      </c>
      <c r="B27" s="47" t="str">
        <f t="shared" si="1"/>
        <v>"Bernerischer Apothecker-Tax"</v>
      </c>
      <c r="C27" s="3" t="s">
        <v>1884</v>
      </c>
      <c r="D27" s="5" t="s">
        <v>653</v>
      </c>
      <c r="E27" s="9"/>
      <c r="F27" s="43"/>
      <c r="G27" s="9"/>
      <c r="H27" s="15"/>
      <c r="I27" s="3" t="s">
        <v>1885</v>
      </c>
    </row>
    <row r="28" ht="22.5" customHeight="1">
      <c r="A28" s="3" t="s">
        <v>1886</v>
      </c>
      <c r="B28" s="47" t="str">
        <f t="shared" si="1"/>
        <v>Wolriechende geistliche Violblumen für eingründige Seelen</v>
      </c>
      <c r="C28" s="3" t="s">
        <v>1887</v>
      </c>
      <c r="D28" s="5" t="s">
        <v>1852</v>
      </c>
      <c r="E28" s="3" t="s">
        <v>1888</v>
      </c>
      <c r="F28" s="5" t="s">
        <v>1431</v>
      </c>
      <c r="G28" s="3" t="s">
        <v>1889</v>
      </c>
      <c r="H28" s="15"/>
      <c r="I28" s="21" t="s">
        <v>1890</v>
      </c>
    </row>
    <row r="29" ht="22.5" customHeight="1">
      <c r="A29" s="3" t="s">
        <v>1891</v>
      </c>
      <c r="B29" s="47" t="str">
        <f t="shared" si="1"/>
        <v/>
      </c>
      <c r="C29" s="3"/>
      <c r="D29" s="43"/>
      <c r="E29" s="9"/>
      <c r="F29" s="43"/>
      <c r="G29" s="9"/>
      <c r="H29" s="15"/>
      <c r="I29" s="9"/>
    </row>
    <row r="30" ht="22.5" customHeight="1">
      <c r="A30" s="3" t="s">
        <v>1892</v>
      </c>
      <c r="B30" s="47" t="str">
        <f t="shared" si="1"/>
        <v/>
      </c>
      <c r="C30" s="3"/>
      <c r="D30" s="43"/>
      <c r="E30" s="9"/>
      <c r="F30" s="43"/>
      <c r="G30" s="9"/>
      <c r="H30" s="15"/>
      <c r="I30" s="9"/>
    </row>
    <row r="31" ht="22.5" customHeight="1">
      <c r="A31" s="3" t="s">
        <v>1893</v>
      </c>
      <c r="B31" s="47" t="str">
        <f t="shared" si="1"/>
        <v/>
      </c>
      <c r="C31" s="3"/>
      <c r="D31" s="43"/>
      <c r="E31" s="9"/>
      <c r="F31" s="43"/>
      <c r="G31" s="9"/>
      <c r="H31" s="15"/>
      <c r="I31" s="9"/>
    </row>
    <row r="32" ht="22.5" customHeight="1">
      <c r="A32" s="3" t="s">
        <v>1894</v>
      </c>
      <c r="B32" s="47" t="str">
        <f t="shared" si="1"/>
        <v/>
      </c>
      <c r="C32" s="3"/>
      <c r="D32" s="43"/>
      <c r="E32" s="9"/>
      <c r="F32" s="43"/>
      <c r="G32" s="9"/>
      <c r="H32" s="15"/>
      <c r="I32" s="9"/>
    </row>
    <row r="33" ht="22.5" customHeight="1">
      <c r="A33" s="3" t="s">
        <v>1895</v>
      </c>
      <c r="B33" s="47" t="str">
        <f t="shared" si="1"/>
        <v/>
      </c>
      <c r="C33" s="3"/>
      <c r="D33" s="43"/>
      <c r="E33" s="9"/>
      <c r="F33" s="43"/>
      <c r="G33" s="9"/>
      <c r="H33" s="15"/>
      <c r="I33" s="9"/>
    </row>
    <row r="34" ht="22.5" customHeight="1">
      <c r="A34" s="3" t="s">
        <v>1896</v>
      </c>
      <c r="B34" s="47" t="str">
        <f t="shared" si="1"/>
        <v/>
      </c>
      <c r="C34" s="3"/>
      <c r="D34" s="43"/>
      <c r="E34" s="9"/>
      <c r="F34" s="43"/>
      <c r="G34" s="9"/>
      <c r="H34" s="15"/>
      <c r="I34" s="9"/>
    </row>
    <row r="35" ht="22.5" customHeight="1">
      <c r="A35" s="3" t="s">
        <v>1897</v>
      </c>
      <c r="B35" s="47" t="str">
        <f t="shared" si="1"/>
        <v/>
      </c>
      <c r="C35" s="3"/>
      <c r="D35" s="43"/>
      <c r="E35" s="9"/>
      <c r="F35" s="43"/>
      <c r="G35" s="9"/>
      <c r="H35" s="15"/>
      <c r="I35" s="9"/>
    </row>
    <row r="36" ht="22.5" customHeight="1">
      <c r="A36" s="3" t="s">
        <v>1898</v>
      </c>
      <c r="B36" s="47" t="str">
        <f t="shared" si="1"/>
        <v/>
      </c>
      <c r="C36" s="3"/>
      <c r="D36" s="43"/>
      <c r="E36" s="9"/>
      <c r="F36" s="43"/>
      <c r="G36" s="9"/>
      <c r="H36" s="15"/>
      <c r="I36" s="9"/>
    </row>
    <row r="37" ht="22.5" customHeight="1">
      <c r="A37" s="3" t="s">
        <v>1899</v>
      </c>
      <c r="B37" s="47" t="str">
        <f t="shared" si="1"/>
        <v/>
      </c>
      <c r="C37" s="3"/>
      <c r="D37" s="43"/>
      <c r="E37" s="9"/>
      <c r="F37" s="43"/>
      <c r="G37" s="9"/>
      <c r="H37" s="15"/>
      <c r="I37" s="9"/>
    </row>
    <row r="38" ht="22.5" customHeight="1">
      <c r="A38" s="3" t="s">
        <v>1900</v>
      </c>
      <c r="B38" s="47" t="str">
        <f t="shared" si="1"/>
        <v/>
      </c>
      <c r="C38" s="3"/>
      <c r="D38" s="43"/>
      <c r="E38" s="9"/>
      <c r="F38" s="43"/>
      <c r="G38" s="9"/>
      <c r="H38" s="15"/>
      <c r="I38" s="9"/>
    </row>
    <row r="39" ht="22.5" customHeight="1">
      <c r="A39" s="3" t="s">
        <v>1901</v>
      </c>
      <c r="B39" s="47" t="str">
        <f t="shared" si="1"/>
        <v/>
      </c>
      <c r="C39" s="3"/>
      <c r="D39" s="43"/>
      <c r="E39" s="9"/>
      <c r="F39" s="43"/>
      <c r="G39" s="9"/>
      <c r="H39" s="15"/>
      <c r="I39" s="9"/>
    </row>
    <row r="40" ht="22.5" customHeight="1">
      <c r="A40" s="3" t="s">
        <v>1902</v>
      </c>
      <c r="B40" s="47" t="str">
        <f t="shared" si="1"/>
        <v/>
      </c>
      <c r="C40" s="3"/>
      <c r="D40" s="43"/>
      <c r="E40" s="9"/>
      <c r="F40" s="43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1903</v>
      </c>
      <c r="B1" s="2" t="s">
        <v>1</v>
      </c>
      <c r="C1" s="1" t="s">
        <v>1427</v>
      </c>
      <c r="D1" s="1" t="s">
        <v>6</v>
      </c>
      <c r="E1" s="1" t="s">
        <v>1904</v>
      </c>
      <c r="F1" s="1" t="s">
        <v>10</v>
      </c>
    </row>
    <row r="2" ht="22.5" customHeight="1">
      <c r="A2" s="3" t="s">
        <v>1905</v>
      </c>
      <c r="B2" s="47" t="str">
        <f t="shared" ref="B2:B34" si="1">CONCATENATE(C2)</f>
        <v>Rat Zürich</v>
      </c>
      <c r="C2" s="3" t="s">
        <v>1906</v>
      </c>
      <c r="D2" s="43"/>
      <c r="E2" s="48" t="s">
        <v>1907</v>
      </c>
      <c r="F2" s="9"/>
    </row>
    <row r="3" ht="22.5" customHeight="1">
      <c r="A3" s="3" t="s">
        <v>1908</v>
      </c>
      <c r="B3" s="47" t="str">
        <f t="shared" si="1"/>
        <v>Fruchtbringende Gesellschaft</v>
      </c>
      <c r="C3" s="3" t="s">
        <v>1909</v>
      </c>
      <c r="D3" s="5" t="s">
        <v>1910</v>
      </c>
      <c r="E3" s="48" t="s">
        <v>1911</v>
      </c>
      <c r="F3" s="3" t="s">
        <v>1912</v>
      </c>
    </row>
    <row r="4" ht="22.5" customHeight="1">
      <c r="A4" s="3" t="s">
        <v>1913</v>
      </c>
      <c r="B4" s="47" t="str">
        <f t="shared" si="1"/>
        <v>Deutschgesinnte Genossenschaft (Lilien-Zunft)</v>
      </c>
      <c r="C4" s="3" t="s">
        <v>1914</v>
      </c>
      <c r="D4" s="5" t="s">
        <v>1915</v>
      </c>
      <c r="E4" s="15"/>
      <c r="F4" s="9"/>
    </row>
    <row r="5" ht="22.5" customHeight="1">
      <c r="A5" s="3" t="s">
        <v>1916</v>
      </c>
      <c r="B5" s="47" t="str">
        <f t="shared" si="1"/>
        <v>Collegium Parthenicum</v>
      </c>
      <c r="C5" s="6" t="s">
        <v>1917</v>
      </c>
      <c r="D5" s="25"/>
      <c r="E5" s="15"/>
      <c r="F5" s="9"/>
    </row>
    <row r="6" ht="22.5" customHeight="1">
      <c r="A6" s="3" t="s">
        <v>1918</v>
      </c>
      <c r="B6" s="47" t="str">
        <f t="shared" si="1"/>
        <v>Collegium Carolinum Zürich</v>
      </c>
      <c r="C6" s="3" t="s">
        <v>1919</v>
      </c>
      <c r="D6" s="5" t="s">
        <v>1920</v>
      </c>
      <c r="E6" s="15"/>
      <c r="F6" s="3" t="s">
        <v>1921</v>
      </c>
    </row>
    <row r="7" ht="22.5" customHeight="1">
      <c r="A7" s="3" t="s">
        <v>1922</v>
      </c>
      <c r="B7" s="47" t="str">
        <f t="shared" si="1"/>
        <v>Sanhedrin</v>
      </c>
      <c r="C7" s="3" t="s">
        <v>1923</v>
      </c>
      <c r="D7" s="5" t="s">
        <v>1924</v>
      </c>
      <c r="E7" s="15"/>
      <c r="F7" s="3" t="s">
        <v>1925</v>
      </c>
    </row>
    <row r="8" ht="22.5" customHeight="1">
      <c r="A8" s="3" t="s">
        <v>1926</v>
      </c>
      <c r="B8" s="47" t="str">
        <f t="shared" si="1"/>
        <v>Bürgerbibliothek Zürich</v>
      </c>
      <c r="C8" s="3" t="s">
        <v>1927</v>
      </c>
      <c r="D8" s="5" t="s">
        <v>1928</v>
      </c>
      <c r="E8" s="15"/>
      <c r="F8" s="3" t="s">
        <v>1929</v>
      </c>
    </row>
    <row r="9" ht="22.5" customHeight="1">
      <c r="A9" s="3" t="s">
        <v>1930</v>
      </c>
      <c r="B9" s="47" t="str">
        <f t="shared" si="1"/>
        <v>Grossmünster Zürich</v>
      </c>
      <c r="C9" s="3" t="s">
        <v>1931</v>
      </c>
      <c r="D9" s="5" t="s">
        <v>1932</v>
      </c>
      <c r="E9" s="15"/>
      <c r="F9" s="3" t="s">
        <v>1933</v>
      </c>
    </row>
    <row r="10" ht="22.5" customHeight="1">
      <c r="A10" s="3" t="s">
        <v>1934</v>
      </c>
      <c r="B10" s="47" t="str">
        <f t="shared" si="1"/>
        <v>Fraumünster Zürich</v>
      </c>
      <c r="C10" s="3" t="s">
        <v>1935</v>
      </c>
      <c r="D10" s="5" t="s">
        <v>1936</v>
      </c>
      <c r="E10" s="15"/>
      <c r="F10" s="3" t="s">
        <v>1937</v>
      </c>
    </row>
    <row r="11" ht="22.5" customHeight="1">
      <c r="A11" s="3" t="s">
        <v>1938</v>
      </c>
      <c r="B11" s="47" t="str">
        <f t="shared" si="1"/>
        <v>Philipps-Universität Marburg</v>
      </c>
      <c r="C11" s="3" t="s">
        <v>1939</v>
      </c>
      <c r="D11" s="5" t="s">
        <v>1940</v>
      </c>
      <c r="E11" s="15"/>
      <c r="F11" s="9"/>
    </row>
    <row r="12" ht="22.5" customHeight="1">
      <c r="A12" s="3" t="s">
        <v>1941</v>
      </c>
      <c r="B12" s="47" t="str">
        <f t="shared" si="1"/>
        <v>Kartäuser</v>
      </c>
      <c r="C12" s="3" t="s">
        <v>1942</v>
      </c>
      <c r="D12" s="25"/>
      <c r="E12" s="15"/>
      <c r="F12" s="3" t="s">
        <v>1943</v>
      </c>
    </row>
    <row r="13" ht="22.5" customHeight="1">
      <c r="A13" s="3" t="s">
        <v>1944</v>
      </c>
      <c r="B13" s="47" t="str">
        <f t="shared" si="1"/>
        <v>Collegium Alumnorum</v>
      </c>
      <c r="C13" s="3" t="s">
        <v>1945</v>
      </c>
      <c r="D13" s="49">
        <v>1.15712505E9</v>
      </c>
      <c r="E13" s="15"/>
      <c r="F13" s="3" t="s">
        <v>1946</v>
      </c>
    </row>
    <row r="14" ht="22.5" customHeight="1">
      <c r="A14" s="3" t="s">
        <v>1947</v>
      </c>
      <c r="B14" s="47" t="str">
        <f t="shared" si="1"/>
        <v>Schützengesellschaft der Stadt Zürich</v>
      </c>
      <c r="C14" s="3" t="s">
        <v>1948</v>
      </c>
      <c r="D14" s="5" t="s">
        <v>1949</v>
      </c>
      <c r="E14" s="15"/>
      <c r="F14" s="9"/>
    </row>
    <row r="15" ht="22.5" customHeight="1">
      <c r="A15" s="3" t="s">
        <v>1950</v>
      </c>
      <c r="B15" s="47" t="str">
        <f t="shared" si="1"/>
        <v>Predigerkirche Zürich</v>
      </c>
      <c r="C15" s="3" t="s">
        <v>1951</v>
      </c>
      <c r="D15" s="5" t="s">
        <v>1952</v>
      </c>
      <c r="E15" s="15"/>
      <c r="F15" s="9"/>
    </row>
    <row r="16" ht="22.5" customHeight="1">
      <c r="A16" s="3" t="s">
        <v>1953</v>
      </c>
      <c r="B16" s="47" t="str">
        <f t="shared" si="1"/>
        <v>Elbschwanenorden</v>
      </c>
      <c r="C16" s="3" t="s">
        <v>1954</v>
      </c>
      <c r="D16" s="22" t="s">
        <v>1955</v>
      </c>
      <c r="E16" s="15"/>
      <c r="F16" s="9"/>
    </row>
    <row r="17" ht="22.5" customHeight="1">
      <c r="A17" s="3" t="s">
        <v>1956</v>
      </c>
      <c r="B17" s="47" t="str">
        <f t="shared" si="1"/>
        <v/>
      </c>
      <c r="C17" s="9"/>
      <c r="D17" s="25"/>
      <c r="E17" s="15"/>
      <c r="F17" s="9"/>
    </row>
    <row r="18" ht="22.5" customHeight="1">
      <c r="A18" s="3" t="s">
        <v>1957</v>
      </c>
      <c r="B18" s="47" t="str">
        <f t="shared" si="1"/>
        <v/>
      </c>
      <c r="C18" s="9"/>
      <c r="D18" s="25"/>
      <c r="E18" s="15"/>
      <c r="F18" s="9"/>
    </row>
    <row r="19" ht="22.5" customHeight="1">
      <c r="A19" s="3" t="s">
        <v>1958</v>
      </c>
      <c r="B19" s="47" t="str">
        <f t="shared" si="1"/>
        <v/>
      </c>
      <c r="C19" s="9"/>
      <c r="D19" s="25"/>
      <c r="E19" s="15"/>
      <c r="F19" s="9"/>
    </row>
    <row r="20" ht="22.5" customHeight="1">
      <c r="A20" s="3" t="s">
        <v>1959</v>
      </c>
      <c r="B20" s="47" t="str">
        <f t="shared" si="1"/>
        <v/>
      </c>
      <c r="C20" s="9"/>
      <c r="D20" s="25"/>
      <c r="E20" s="15"/>
      <c r="F20" s="9"/>
    </row>
    <row r="21" ht="22.5" customHeight="1">
      <c r="A21" s="3" t="s">
        <v>1960</v>
      </c>
      <c r="B21" s="47" t="str">
        <f t="shared" si="1"/>
        <v/>
      </c>
      <c r="C21" s="9"/>
      <c r="D21" s="25"/>
      <c r="E21" s="15"/>
      <c r="F21" s="9"/>
    </row>
    <row r="22" ht="22.5" customHeight="1">
      <c r="A22" s="3" t="s">
        <v>1961</v>
      </c>
      <c r="B22" s="47" t="str">
        <f t="shared" si="1"/>
        <v/>
      </c>
      <c r="C22" s="9"/>
      <c r="D22" s="25"/>
      <c r="E22" s="15"/>
      <c r="F22" s="9"/>
    </row>
    <row r="23" ht="22.5" customHeight="1">
      <c r="A23" s="3" t="s">
        <v>1962</v>
      </c>
      <c r="B23" s="47" t="str">
        <f t="shared" si="1"/>
        <v/>
      </c>
      <c r="C23" s="9"/>
      <c r="D23" s="25"/>
      <c r="E23" s="15"/>
      <c r="F23" s="9"/>
    </row>
    <row r="24" ht="22.5" customHeight="1">
      <c r="A24" s="3" t="s">
        <v>1963</v>
      </c>
      <c r="B24" s="47" t="str">
        <f t="shared" si="1"/>
        <v/>
      </c>
      <c r="C24" s="9"/>
      <c r="D24" s="25"/>
      <c r="E24" s="15"/>
      <c r="F24" s="9"/>
    </row>
    <row r="25" ht="22.5" customHeight="1">
      <c r="A25" s="3" t="s">
        <v>1964</v>
      </c>
      <c r="B25" s="47" t="str">
        <f t="shared" si="1"/>
        <v/>
      </c>
      <c r="C25" s="9"/>
      <c r="D25" s="25"/>
      <c r="E25" s="15"/>
      <c r="F25" s="9"/>
    </row>
    <row r="26" ht="22.5" customHeight="1">
      <c r="A26" s="3" t="s">
        <v>1965</v>
      </c>
      <c r="B26" s="47" t="str">
        <f t="shared" si="1"/>
        <v/>
      </c>
      <c r="C26" s="9"/>
      <c r="D26" s="25"/>
      <c r="E26" s="15"/>
      <c r="F26" s="9"/>
    </row>
    <row r="27" ht="22.5" customHeight="1">
      <c r="A27" s="3" t="s">
        <v>1966</v>
      </c>
      <c r="B27" s="47" t="str">
        <f t="shared" si="1"/>
        <v/>
      </c>
      <c r="C27" s="9"/>
      <c r="D27" s="25"/>
      <c r="E27" s="15"/>
      <c r="F27" s="9"/>
    </row>
    <row r="28" ht="22.5" customHeight="1">
      <c r="A28" s="3" t="s">
        <v>1967</v>
      </c>
      <c r="B28" s="47" t="str">
        <f t="shared" si="1"/>
        <v/>
      </c>
      <c r="C28" s="9"/>
      <c r="D28" s="25"/>
      <c r="E28" s="15"/>
      <c r="F28" s="9"/>
    </row>
    <row r="29" ht="22.5" customHeight="1">
      <c r="A29" s="3" t="s">
        <v>1968</v>
      </c>
      <c r="B29" s="47" t="str">
        <f t="shared" si="1"/>
        <v/>
      </c>
      <c r="C29" s="9"/>
      <c r="D29" s="25"/>
      <c r="E29" s="15"/>
      <c r="F29" s="9"/>
    </row>
    <row r="30" ht="22.5" customHeight="1">
      <c r="A30" s="3" t="s">
        <v>1969</v>
      </c>
      <c r="B30" s="47" t="str">
        <f t="shared" si="1"/>
        <v/>
      </c>
      <c r="C30" s="9"/>
      <c r="D30" s="25"/>
      <c r="E30" s="15"/>
      <c r="F30" s="9"/>
    </row>
    <row r="31" ht="22.5" customHeight="1">
      <c r="A31" s="3" t="s">
        <v>1970</v>
      </c>
      <c r="B31" s="47" t="str">
        <f t="shared" si="1"/>
        <v/>
      </c>
      <c r="C31" s="9"/>
      <c r="D31" s="25"/>
      <c r="E31" s="15"/>
      <c r="F31" s="9"/>
    </row>
    <row r="32" ht="22.5" customHeight="1">
      <c r="A32" s="3" t="s">
        <v>1971</v>
      </c>
      <c r="B32" s="47" t="str">
        <f t="shared" si="1"/>
        <v/>
      </c>
      <c r="C32" s="9"/>
      <c r="D32" s="25"/>
      <c r="E32" s="15"/>
      <c r="F32" s="9"/>
    </row>
    <row r="33" ht="22.5" customHeight="1">
      <c r="A33" s="3" t="s">
        <v>1972</v>
      </c>
      <c r="B33" s="47" t="str">
        <f t="shared" si="1"/>
        <v/>
      </c>
      <c r="C33" s="9"/>
      <c r="D33" s="25"/>
      <c r="E33" s="15"/>
      <c r="F33" s="9"/>
    </row>
    <row r="34" ht="22.5" customHeight="1">
      <c r="A34" s="3" t="s">
        <v>1973</v>
      </c>
      <c r="B34" s="47" t="str">
        <f t="shared" si="1"/>
        <v/>
      </c>
      <c r="C34" s="9"/>
      <c r="D34" s="25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1974</v>
      </c>
      <c r="B1" s="2" t="s">
        <v>1</v>
      </c>
      <c r="C1" s="1" t="s">
        <v>1975</v>
      </c>
      <c r="D1" s="1" t="s">
        <v>1976</v>
      </c>
      <c r="E1" s="1" t="s">
        <v>1977</v>
      </c>
      <c r="F1" s="1" t="s">
        <v>10</v>
      </c>
    </row>
    <row r="2" ht="22.5" customHeight="1">
      <c r="A2" s="3" t="s">
        <v>1978</v>
      </c>
      <c r="B2" s="40" t="str">
        <f t="shared" ref="B2:B8" si="1">CONCATENATE(C2)</f>
        <v>Runs</v>
      </c>
      <c r="C2" s="3" t="s">
        <v>1979</v>
      </c>
      <c r="D2" s="5" t="s">
        <v>1980</v>
      </c>
      <c r="E2" s="50" t="s">
        <v>1981</v>
      </c>
      <c r="F2" s="9"/>
    </row>
    <row r="3" ht="22.5" customHeight="1">
      <c r="A3" s="3" t="s">
        <v>1982</v>
      </c>
      <c r="B3" s="40" t="str">
        <f t="shared" si="1"/>
        <v/>
      </c>
      <c r="C3" s="9"/>
      <c r="D3" s="25"/>
      <c r="E3" s="25"/>
      <c r="F3" s="9"/>
    </row>
    <row r="4" ht="22.5" customHeight="1">
      <c r="A4" s="3" t="s">
        <v>1983</v>
      </c>
      <c r="B4" s="40" t="str">
        <f t="shared" si="1"/>
        <v/>
      </c>
      <c r="C4" s="9"/>
      <c r="D4" s="25"/>
      <c r="E4" s="25"/>
      <c r="F4" s="9"/>
    </row>
    <row r="5" ht="22.5" customHeight="1">
      <c r="A5" s="3" t="s">
        <v>1984</v>
      </c>
      <c r="B5" s="40" t="str">
        <f t="shared" si="1"/>
        <v/>
      </c>
      <c r="C5" s="9"/>
      <c r="D5" s="25"/>
      <c r="E5" s="25"/>
      <c r="F5" s="9"/>
    </row>
    <row r="6" ht="22.5" customHeight="1">
      <c r="A6" s="3" t="s">
        <v>1985</v>
      </c>
      <c r="B6" s="40" t="str">
        <f t="shared" si="1"/>
        <v/>
      </c>
      <c r="C6" s="9"/>
      <c r="D6" s="25"/>
      <c r="E6" s="25"/>
      <c r="F6" s="9"/>
    </row>
    <row r="7" ht="22.5" customHeight="1">
      <c r="A7" s="3" t="s">
        <v>1986</v>
      </c>
      <c r="B7" s="40" t="str">
        <f t="shared" si="1"/>
        <v/>
      </c>
      <c r="C7" s="9"/>
      <c r="D7" s="25"/>
      <c r="E7" s="25"/>
      <c r="F7" s="9"/>
    </row>
    <row r="8" ht="22.5" customHeight="1">
      <c r="A8" s="3" t="s">
        <v>1987</v>
      </c>
      <c r="B8" s="40" t="str">
        <f t="shared" si="1"/>
        <v/>
      </c>
      <c r="C8" s="9"/>
      <c r="D8" s="25"/>
      <c r="E8" s="2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