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sonen" sheetId="1" r:id="rId5"/>
    <sheet state="visible" name="Orte" sheetId="2" r:id="rId6"/>
    <sheet state="visible" name="Werke" sheetId="3" r:id="rId7"/>
    <sheet state="visible" name="Institutionen" sheetId="4" r:id="rId8"/>
    <sheet state="visible" name="Helvetismen" sheetId="5" r:id="rId9"/>
  </sheets>
  <definedNames>
    <definedName hidden="1" localSheetId="0" name="_xlnm._FilterDatabase">Personen!$A$1:$K$290</definedName>
  </definedNames>
  <calcPr/>
</workbook>
</file>

<file path=xl/sharedStrings.xml><?xml version="1.0" encoding="utf-8"?>
<sst xmlns="http://schemas.openxmlformats.org/spreadsheetml/2006/main" count="2515" uniqueCount="1969">
  <si>
    <t>Ort-ID</t>
  </si>
  <si>
    <t>Institution-ID</t>
  </si>
  <si>
    <t>Person-ID</t>
  </si>
  <si>
    <t>Werk-ID</t>
  </si>
  <si>
    <t>Label [generiert, nicht manuell berarbeiten]</t>
  </si>
  <si>
    <t>Name</t>
  </si>
  <si>
    <t>Familienname</t>
  </si>
  <si>
    <t>Titel</t>
  </si>
  <si>
    <t>Namensvariante</t>
  </si>
  <si>
    <t>Vorname</t>
  </si>
  <si>
    <t>Person</t>
  </si>
  <si>
    <t>GeoNames</t>
  </si>
  <si>
    <t>GND</t>
  </si>
  <si>
    <t>Geburtsdatum</t>
  </si>
  <si>
    <t>Jahr</t>
  </si>
  <si>
    <t>Typ</t>
  </si>
  <si>
    <t>Bemerkungen</t>
  </si>
  <si>
    <t>Sterbedatum</t>
  </si>
  <si>
    <t>Kategorie</t>
  </si>
  <si>
    <t>Ort</t>
  </si>
  <si>
    <t>Kurzbeschreibung</t>
  </si>
  <si>
    <t>institution_001</t>
  </si>
  <si>
    <t>Verlag</t>
  </si>
  <si>
    <t>place_001</t>
  </si>
  <si>
    <t>Quellen</t>
  </si>
  <si>
    <t>person_001</t>
  </si>
  <si>
    <t>work_001</t>
  </si>
  <si>
    <t>Rat Zürich</t>
  </si>
  <si>
    <t>Zürich</t>
  </si>
  <si>
    <t>Kategorie 1</t>
  </si>
  <si>
    <t>Teutsche Gedichte</t>
  </si>
  <si>
    <t>Stadt</t>
  </si>
  <si>
    <t>Stadt und eidg. Ort</t>
  </si>
  <si>
    <t>Simler, Johann Wilhelm</t>
  </si>
  <si>
    <t>1648</t>
  </si>
  <si>
    <t>Simler</t>
  </si>
  <si>
    <t>Johann Wilhelm</t>
  </si>
  <si>
    <t>Bodmer, Johann Jakob</t>
  </si>
  <si>
    <t>119151693</t>
  </si>
  <si>
    <t>Kategorie 1</t>
  </si>
  <si>
    <t>Schweizer Dichter und reformierter Theologe</t>
  </si>
  <si>
    <t>institution_002</t>
  </si>
  <si>
    <t>Historische Person</t>
  </si>
  <si>
    <t>place_002</t>
  </si>
  <si>
    <r>
      <rPr>
        <color rgb="FF434343"/>
        <u/>
      </rPr>
      <t>https://hls-dhs-dss.ch/de/articles/012297/2011-06-08/</t>
    </r>
    <r>
      <rPr>
        <color rgb="FF1F1F1F"/>
      </rPr>
      <t>; Emanuel Dejung und Willy Wuhrmann (Hg.): Zürcher Pfarrbuch 1519-1952, Zürich: Schulthess &amp; Co., S. 534.</t>
    </r>
  </si>
  <si>
    <t>Basel</t>
  </si>
  <si>
    <t>Fruchtbringende Gesellschaft</t>
  </si>
  <si>
    <t>2011193-9</t>
  </si>
  <si>
    <t>Kategorie 2</t>
  </si>
  <si>
    <t>Literarische Gesellschaft im 17. Jahrhundert</t>
  </si>
  <si>
    <t>institution_003</t>
  </si>
  <si>
    <t>work_002</t>
  </si>
  <si>
    <t>place_003</t>
  </si>
  <si>
    <t>Deutschgesinnte Genossenschaft (Lilien-Zunft)</t>
  </si>
  <si>
    <t>4679588-1</t>
  </si>
  <si>
    <t>Eidgenossenschaft</t>
  </si>
  <si>
    <t>Schweiz</t>
  </si>
  <si>
    <t>Die Krafft der Gottseligkeit</t>
  </si>
  <si>
    <t>person_002</t>
  </si>
  <si>
    <t>Hegner, Diethelm / Trigland, Jacobus</t>
  </si>
  <si>
    <t>alt. Eidgenossenschaft, Schweiz</t>
  </si>
  <si>
    <t>1651</t>
  </si>
  <si>
    <t>Opitz</t>
  </si>
  <si>
    <t>institution_004</t>
  </si>
  <si>
    <t>Martin</t>
  </si>
  <si>
    <t>Collegium Parthenicum</t>
  </si>
  <si>
    <t>place_004</t>
  </si>
  <si>
    <t>118590111</t>
  </si>
  <si>
    <t>Michael Schufelberger</t>
  </si>
  <si>
    <t>Deutscher Dichter, Begründer der Schlesischen Dichterschule</t>
  </si>
  <si>
    <t>Limmat</t>
  </si>
  <si>
    <t>Kategorie 2</t>
  </si>
  <si>
    <t>https://de.wikipedia.org/wiki/Martin_Opitz</t>
  </si>
  <si>
    <t>Gewässer</t>
  </si>
  <si>
    <t>https://www.e-rara.ch/zuz/doi/10.3931/e-rara-13309</t>
  </si>
  <si>
    <t>Fluss</t>
  </si>
  <si>
    <t>institution_005</t>
  </si>
  <si>
    <t>Collegium Carolinum Zürich</t>
  </si>
  <si>
    <t>4553290-4</t>
  </si>
  <si>
    <t>philosophisch-theologische Hochschule und Vorläuferin der Universität Zürich</t>
  </si>
  <si>
    <t>place_005</t>
  </si>
  <si>
    <t>Weinfelden</t>
  </si>
  <si>
    <t>institution_007</t>
  </si>
  <si>
    <t>person_003</t>
  </si>
  <si>
    <t>Sanhedrin</t>
  </si>
  <si>
    <t>Buol</t>
  </si>
  <si>
    <t>Meinrad</t>
  </si>
  <si>
    <t>4249853-3 (?)</t>
  </si>
  <si>
    <t>place_006</t>
  </si>
  <si>
    <t>1017997098</t>
  </si>
  <si>
    <t>Hoher Rat der Juden</t>
  </si>
  <si>
    <t>Schweizer Adeliger, Landammann von Davos und Bundslandammann</t>
  </si>
  <si>
    <t>Main</t>
  </si>
  <si>
    <t>https://hls-dhs-dss.ch/de/articles/016777</t>
  </si>
  <si>
    <t>Fluss durch Deutschland</t>
  </si>
  <si>
    <t>institution_008</t>
  </si>
  <si>
    <t>Bürgerbibliothek Zürich</t>
  </si>
  <si>
    <t>4466502-7</t>
  </si>
  <si>
    <t>place_007</t>
  </si>
  <si>
    <t>work_003</t>
  </si>
  <si>
    <t>1631-1916 in der Wasserkirche untergebracht</t>
  </si>
  <si>
    <t>Zürichsee</t>
  </si>
  <si>
    <t>person_004</t>
  </si>
  <si>
    <t>Archetypi homiliarum in quatuor evangelia dn. nostri Iesu Christi</t>
  </si>
  <si>
    <t>Bodmer</t>
  </si>
  <si>
    <t>institution_009</t>
  </si>
  <si>
    <t>Gwalther, Rudolf</t>
  </si>
  <si>
    <t>Johann Jakob</t>
  </si>
  <si>
    <t>Grossmünster Zürich</t>
  </si>
  <si>
    <t>1601</t>
  </si>
  <si>
    <t>4458464-7</t>
  </si>
  <si>
    <t>1037529359</t>
  </si>
  <si>
    <t>Kirche</t>
  </si>
  <si>
    <t>Schweizer Buchdrucker, Dichter und Politiker</t>
  </si>
  <si>
    <t>place_008</t>
  </si>
  <si>
    <t>Johannes Wolf</t>
  </si>
  <si>
    <t>https://de.wikipedia.org/wiki/Johann_Jakob_Bodmer_(Drucker)</t>
  </si>
  <si>
    <t>Thalwil</t>
  </si>
  <si>
    <t>institution_010</t>
  </si>
  <si>
    <t>Fraumünster Zürich</t>
  </si>
  <si>
    <t>Politische Gemeinde</t>
  </si>
  <si>
    <t>4097964-7</t>
  </si>
  <si>
    <t>Politische Gemeinde im Kanton Zürich</t>
  </si>
  <si>
    <r>
      <rPr/>
      <t xml:space="preserve">Viele verschiedene Ausgaben. Hier die erste von Rudolf Simler angegeben. </t>
    </r>
    <r>
      <rPr>
        <color rgb="FF1155CC"/>
        <u/>
      </rPr>
      <t>https://www.e-rara.ch/zuz/content/titleinfo/2617861</t>
    </r>
  </si>
  <si>
    <t>"Abbatisaner Kirche"</t>
  </si>
  <si>
    <t>person_005</t>
  </si>
  <si>
    <t>place_009</t>
  </si>
  <si>
    <t>Escher</t>
  </si>
  <si>
    <t>Bern</t>
  </si>
  <si>
    <t>institution_011</t>
  </si>
  <si>
    <t>Heinrich</t>
  </si>
  <si>
    <t>Philipps-Universität Marburg</t>
  </si>
  <si>
    <t>2001630-X</t>
  </si>
  <si>
    <t>118853635</t>
  </si>
  <si>
    <t>Mitglied des Rats, Stadthauptmann, Bürgermeister von Zürich</t>
  </si>
  <si>
    <t>https://hls-dhs-dss.ch/de/articles/018056/2004-11-04/</t>
  </si>
  <si>
    <t>institution_012</t>
  </si>
  <si>
    <t>place_010</t>
  </si>
  <si>
    <t>Kartäuser</t>
  </si>
  <si>
    <t>work_004</t>
  </si>
  <si>
    <t>Gottstatt</t>
  </si>
  <si>
    <t>person_006</t>
  </si>
  <si>
    <t>Der Psalter dess Königlichen Propheten Dauids/ Jn deutsche reymen verstendiglich vnd deutlich gebracht/ mit vorgehender anzeigung der reymen weise/ auch eines jeden Psalmes Jnhalt</t>
  </si>
  <si>
    <t>Lobwasser, Ambrosius</t>
  </si>
  <si>
    <t>Hottinger</t>
  </si>
  <si>
    <t>Johann Heinrich</t>
  </si>
  <si>
    <t>1573</t>
  </si>
  <si>
    <t>Katholischer Mönchsorden</t>
  </si>
  <si>
    <t>place_011</t>
  </si>
  <si>
    <t>104286547</t>
  </si>
  <si>
    <t>Leipzig</t>
  </si>
  <si>
    <t>Professor für Kirchengeschichte, Orientalistik und Rhetorik am Carolinum in Zürich, einer der Begründer der orientalischen Philologie</t>
  </si>
  <si>
    <t>Thorberg</t>
  </si>
  <si>
    <t>https://hls-dhs-dss.ch/de/articles/010460/2006-04-05/</t>
  </si>
  <si>
    <t>institution_013</t>
  </si>
  <si>
    <t>Eine Burg in der Gemeinde Krauchthal BE, seit 1848 eine Strafanstalt</t>
  </si>
  <si>
    <t>Collegium Alumnorum</t>
  </si>
  <si>
    <t>Zuchthof beim Fraumünster</t>
  </si>
  <si>
    <t>place_012</t>
  </si>
  <si>
    <t>person_007</t>
  </si>
  <si>
    <t>London</t>
  </si>
  <si>
    <t>institution_014</t>
  </si>
  <si>
    <t>Landolt</t>
  </si>
  <si>
    <t>Matthias</t>
  </si>
  <si>
    <t>Schützengesellschaft der Stadt Zürich</t>
  </si>
  <si>
    <t>4546255-0</t>
  </si>
  <si>
    <t>1052300871</t>
  </si>
  <si>
    <t>Mitglied des Rats von der freien Wahl, Vogt zu Hogen und Ehegerichtsschreiber</t>
  </si>
  <si>
    <t>work_005</t>
  </si>
  <si>
    <t>https://www.e-periodica.ch/cntmng?pid=fsj-001%3A1937%3A4%3A%3A121</t>
  </si>
  <si>
    <t>place_013</t>
  </si>
  <si>
    <t>institution_015</t>
  </si>
  <si>
    <t>England</t>
  </si>
  <si>
    <t>Hundert christliche Fäst-Predigen</t>
  </si>
  <si>
    <t>Weiss, Felix</t>
  </si>
  <si>
    <t>Land</t>
  </si>
  <si>
    <t>Predigerkirche Zürich</t>
  </si>
  <si>
    <t>1653</t>
  </si>
  <si>
    <t>4191776-5</t>
  </si>
  <si>
    <t>Michael Schuffelberger</t>
  </si>
  <si>
    <t>place_014</t>
  </si>
  <si>
    <t>person_008</t>
  </si>
  <si>
    <t>Bethlehem</t>
  </si>
  <si>
    <t>institution_016</t>
  </si>
  <si>
    <t>Meyer</t>
  </si>
  <si>
    <r>
      <rPr>
        <color rgb="FF1155CC"/>
        <u/>
      </rPr>
      <t>https://doi.org/10.3931/e-rara-11967</t>
    </r>
  </si>
  <si>
    <t>Conrad</t>
  </si>
  <si>
    <t>Elbschwanenorden</t>
  </si>
  <si>
    <t>1618</t>
  </si>
  <si>
    <t>Stadt im Nahen Osten</t>
  </si>
  <si>
    <t>4679584-4</t>
  </si>
  <si>
    <t>1689</t>
  </si>
  <si>
    <t>118733273</t>
  </si>
  <si>
    <t>Maler, Radierer, Kupferstecher</t>
  </si>
  <si>
    <t>https://hls-dhs-dss.ch/de/articles/019140/2011-04-20/</t>
  </si>
  <si>
    <t>place_015</t>
  </si>
  <si>
    <t>institution_017</t>
  </si>
  <si>
    <t xml:space="preserve">Parnass </t>
  </si>
  <si>
    <t>Parnassus</t>
  </si>
  <si>
    <t>Berg</t>
  </si>
  <si>
    <t>Berg in Griechenland, der in der griechischen Mythologie Apollon geweiht ist und damit als Sinnbild und Inbegriff der Lyrik bzw. der Kunst gilt</t>
  </si>
  <si>
    <t>person_009</t>
  </si>
  <si>
    <t>Müller</t>
  </si>
  <si>
    <t>work_006</t>
  </si>
  <si>
    <t>Georg</t>
  </si>
  <si>
    <t>institution_018</t>
  </si>
  <si>
    <t>1610</t>
  </si>
  <si>
    <t>1672</t>
  </si>
  <si>
    <t>place_016</t>
  </si>
  <si>
    <t>130002488</t>
  </si>
  <si>
    <t>Pfarrer zu Thalwil</t>
  </si>
  <si>
    <t>Traubenberg</t>
  </si>
  <si>
    <t>https://suche.staatsarchiv.djiktzh.ch/detail.aspx?ID=1960657 http://www.hfls.ch/humo-gen/family/1/F111542?main_person=I322385; Emanuel Dejung und Willy Wuhrmann (Hg.): Zürcher Pfarrbuch 1519-1952, Zürich: Schulthess &amp; Co., S. 440.</t>
  </si>
  <si>
    <t>Spiegel der Unermesslichen Gnad Gottes gegen den rewenden bussfertigen Sünderen/ Jn XLV. Predigen vber das XV. capitel Lucae/ vom verlohrnen Schaaf/ Pfenning/ vnd Sohn verfasset</t>
  </si>
  <si>
    <t>"Haus zum Traubenberg" in Zollikon (Zürich)?</t>
  </si>
  <si>
    <t>Wirtz, Johannes</t>
  </si>
  <si>
    <t>1650</t>
  </si>
  <si>
    <t>institution_019</t>
  </si>
  <si>
    <t>person_010</t>
  </si>
  <si>
    <t>place_017</t>
  </si>
  <si>
    <t>Michaël Schaufelberger</t>
  </si>
  <si>
    <t>Rahn</t>
  </si>
  <si>
    <t>Babylon</t>
  </si>
  <si>
    <t>Hans Heinrich</t>
  </si>
  <si>
    <t>Babel</t>
  </si>
  <si>
    <r>
      <rPr>
        <color rgb="FF1155CC"/>
        <u/>
      </rPr>
      <t>https://doi.org/10.3931/e-rara-24125</t>
    </r>
  </si>
  <si>
    <t>Stadt in Mesopotamien</t>
  </si>
  <si>
    <t>143680765</t>
  </si>
  <si>
    <t>institution_020</t>
  </si>
  <si>
    <t>Zunftmeister, Amtmann von Töss, Obmann gemeiner Klöster, Statthalter, Bürgermeister von Zürich</t>
  </si>
  <si>
    <t>https://hls-dhs-dss.ch/de/articles/018097/2010-07-26/</t>
  </si>
  <si>
    <t>place_018</t>
  </si>
  <si>
    <t>Canaan</t>
  </si>
  <si>
    <t>Kanaan</t>
  </si>
  <si>
    <t>institution_021</t>
  </si>
  <si>
    <t>Region</t>
  </si>
  <si>
    <t>Historische Region im Nahen Osten</t>
  </si>
  <si>
    <t>person_011</t>
  </si>
  <si>
    <t>work_007</t>
  </si>
  <si>
    <t>Schulthess</t>
  </si>
  <si>
    <t>1594</t>
  </si>
  <si>
    <t>1652</t>
  </si>
  <si>
    <t>place_019</t>
  </si>
  <si>
    <t>1017179034</t>
  </si>
  <si>
    <t>Mitglied des Rats, Zunftmeister, Obervogt zu Rümlang</t>
  </si>
  <si>
    <t>Ägypten</t>
  </si>
  <si>
    <t>https://hls-dhs-dss.ch/de/articles/029413/2010-05-18/</t>
  </si>
  <si>
    <t>Ruh und Fridensübung</t>
  </si>
  <si>
    <t>Egyptenlande</t>
  </si>
  <si>
    <t>institution_022</t>
  </si>
  <si>
    <t>Wyss, Caspar</t>
  </si>
  <si>
    <t>1646</t>
  </si>
  <si>
    <t>place_020</t>
  </si>
  <si>
    <t>person_012</t>
  </si>
  <si>
    <t>Hermon</t>
  </si>
  <si>
    <t>Johann Jakob Bodmer</t>
  </si>
  <si>
    <t>Schwilge</t>
  </si>
  <si>
    <t>Andreas</t>
  </si>
  <si>
    <t>Bergmassiv im Antilibanon</t>
  </si>
  <si>
    <t>1608</t>
  </si>
  <si>
    <t>1688</t>
  </si>
  <si>
    <t>institution_023</t>
  </si>
  <si>
    <t>103856935</t>
  </si>
  <si>
    <t>Deutscher Komponist, Organist und Sänger</t>
  </si>
  <si>
    <t>https://de.wikipedia.org/wiki/Andreas_Schwilge</t>
  </si>
  <si>
    <r>
      <rPr/>
      <t xml:space="preserve">Es handelt sich um eine Übersetzung von George Webbes "The practice of quietnes", die um 1700 im Bücherkatalog der Druckerei Bodmer verzeichnet ist: </t>
    </r>
    <r>
      <rPr>
        <color rgb="FF1155CC"/>
        <u/>
      </rPr>
      <t>https://www.e-rara.ch/zuz/content/zoom/25183957</t>
    </r>
  </si>
  <si>
    <t>place_021</t>
  </si>
  <si>
    <t>Jerusalem</t>
  </si>
  <si>
    <t>Salem</t>
  </si>
  <si>
    <t>person_014</t>
  </si>
  <si>
    <t>Wyss</t>
  </si>
  <si>
    <t>institution_024</t>
  </si>
  <si>
    <t>Felix</t>
  </si>
  <si>
    <t>place_022</t>
  </si>
  <si>
    <t>115583025</t>
  </si>
  <si>
    <t>Reformierter Theologe, Pfarrer am Fraumünster in Zürich, Professor für Katechetik</t>
  </si>
  <si>
    <t>Jordan</t>
  </si>
  <si>
    <r>
      <rPr>
        <color rgb="FF1155CC"/>
        <u/>
      </rPr>
      <t>https://www.degruyterbrill.com/database/dba/entry/dba.D561-546-5/html</t>
    </r>
    <r>
      <rPr/>
      <t xml:space="preserve"> ; Emanuel Dejung und Willy Wuhrmann (Hg.): Zürcher Pfarrbuch 1519-1952, Zürich: Schulthess &amp; Co., S. 642.</t>
    </r>
  </si>
  <si>
    <t>Fluss im Nahen Osten</t>
  </si>
  <si>
    <t>place_023</t>
  </si>
  <si>
    <t>work_008</t>
  </si>
  <si>
    <t>institution_025</t>
  </si>
  <si>
    <t>Rotes Meer</t>
  </si>
  <si>
    <t>person_015</t>
  </si>
  <si>
    <r>
      <rPr>
        <rFont val="Arial"/>
        <color rgb="FF000000"/>
      </rPr>
      <t>Leuen/Lewe/</t>
    </r>
    <r>
      <rPr>
        <rFont val="Arial"/>
        <color rgb="FF000000"/>
      </rPr>
      <t>Leu</t>
    </r>
  </si>
  <si>
    <t xml:space="preserve">Nähefelser-Fahrt: in zehen erbaulichen Jahrzeit-Predigen zu schuldigem Danck dem Höhesten für den im Jahr 1388 gemeinen Landleuthen dess lobl. Eydgnössischen Bundorths Glarus wider ihre Feind bey und umb Nähefels verliehenen Wundersieg </t>
  </si>
  <si>
    <t>Amman, Johann Ludwig</t>
  </si>
  <si>
    <t>Hans Jacob</t>
  </si>
  <si>
    <t>place_024</t>
  </si>
  <si>
    <t>1662</t>
  </si>
  <si>
    <t>Juda</t>
  </si>
  <si>
    <t>Mitglied des Rats; Statthalter; oberster Leutnant über der Zürcher Panner</t>
  </si>
  <si>
    <t>Melchior Stauffacher</t>
  </si>
  <si>
    <t>https://www.hfls.ch/humo-gen/family/1/F107251?main_person=I303305</t>
  </si>
  <si>
    <t>Historisches Königreich im östlichen Mittelmeerraum</t>
  </si>
  <si>
    <t>institution_026</t>
  </si>
  <si>
    <t>https://doi.org/10.3931/e-rara-13175</t>
  </si>
  <si>
    <t>place_025</t>
  </si>
  <si>
    <t>Moab</t>
  </si>
  <si>
    <t>person_016</t>
  </si>
  <si>
    <t>Historisches Gebiet im heutigen Jordanien</t>
  </si>
  <si>
    <t>Berger</t>
  </si>
  <si>
    <t>Hans</t>
  </si>
  <si>
    <t>1089516347</t>
  </si>
  <si>
    <t>place_026</t>
  </si>
  <si>
    <t>Mitglied des Rats von der freien Wahl; Bauherr; ehemaliger Vogt der Herrschaft Weinfelden</t>
  </si>
  <si>
    <t>Ammon</t>
  </si>
  <si>
    <t>https://hfls.ch/humo-gen/birthday_family/1/F150960</t>
  </si>
  <si>
    <t>work_009</t>
  </si>
  <si>
    <t>Historisches Königreich im heutigen Jordanien</t>
  </si>
  <si>
    <t>institution_027</t>
  </si>
  <si>
    <t xml:space="preserve">Die vier Haubtpuncten der christlichen seligmachenden Religion: auf alle Sontag des gantzen Jahrs ordenlich abgetheilt, grundtlich nach der heiligen Schrifft erklärt und zur Erbawung gerichtet </t>
  </si>
  <si>
    <t>place_027</t>
  </si>
  <si>
    <t>Burkhard, Hans Konrad</t>
  </si>
  <si>
    <t>Zion</t>
  </si>
  <si>
    <t>Sion</t>
  </si>
  <si>
    <t>1656</t>
  </si>
  <si>
    <t>person_017</t>
  </si>
  <si>
    <t>Berg in Jerusalem</t>
  </si>
  <si>
    <t>Michael Schaufelberger</t>
  </si>
  <si>
    <t>1090234457</t>
  </si>
  <si>
    <t>place_028</t>
  </si>
  <si>
    <t>Ratsmitglied, Zunftmeister, Gründer und erster Vorsitzender der Bürgerbibliothek Zürich</t>
  </si>
  <si>
    <r>
      <rPr>
        <color rgb="FF1155CC"/>
        <u/>
      </rPr>
      <t>https://doi.org/10.3931/e-rara-10701</t>
    </r>
  </si>
  <si>
    <t>institution_028</t>
  </si>
  <si>
    <t>Assur</t>
  </si>
  <si>
    <r>
      <rPr/>
      <t xml:space="preserve">https://doi.org/10.3931/e-rara-24507 (S. 40-46) und </t>
    </r>
    <r>
      <rPr>
        <color rgb="FF1155CC"/>
        <u/>
      </rPr>
      <t>https://www.hfls.ch/humo-gen/family/1/F101155?main_person=I289353</t>
    </r>
  </si>
  <si>
    <t xml:space="preserve">Historische Stadt im Norden des heutigen Iraks </t>
  </si>
  <si>
    <t>place_029</t>
  </si>
  <si>
    <t>person_018</t>
  </si>
  <si>
    <t>institution_029</t>
  </si>
  <si>
    <t>Israel</t>
  </si>
  <si>
    <t>Wirz</t>
  </si>
  <si>
    <t>Johann</t>
  </si>
  <si>
    <t>Historisches Königreich Israel</t>
  </si>
  <si>
    <t>work_010</t>
  </si>
  <si>
    <t>117412465</t>
  </si>
  <si>
    <t>institution_030</t>
  </si>
  <si>
    <t>Professor für reformierte Theologie in Zürich, Pfarrer in Zumikon, erster Pfarrer in Winterthur</t>
  </si>
  <si>
    <t>https://hls-dhs-dss.ch/de/articles/026288; Emanuel Dejung und Willy Wuhrmann (Hg.): Zürcher Pfarrbuch 1519-1952, Zürich: Schulthess &amp; Co., S. 625.</t>
  </si>
  <si>
    <t>place_030</t>
  </si>
  <si>
    <t>Architectura von Vestungen</t>
  </si>
  <si>
    <t>Nazaret</t>
  </si>
  <si>
    <t>Ardüser, Johann</t>
  </si>
  <si>
    <t>Stadt in Galiläa</t>
  </si>
  <si>
    <t>institution_031</t>
  </si>
  <si>
    <t>person_019</t>
  </si>
  <si>
    <t>Johann Heinrich Hamberger</t>
  </si>
  <si>
    <t>Hoffmeister</t>
  </si>
  <si>
    <t>place_031</t>
  </si>
  <si>
    <t>Johann Rudolph</t>
  </si>
  <si>
    <t xml:space="preserve">https://doi.org/10.3931/e-rara-12387 </t>
  </si>
  <si>
    <t>Rom</t>
  </si>
  <si>
    <t>institution_032</t>
  </si>
  <si>
    <t>115616675</t>
  </si>
  <si>
    <t>Hauptstadt des Römischen Reiches</t>
  </si>
  <si>
    <t>Pfarrer in Witikon, Professor des Hebräischen, Griechisch und Latein, Feldprediger im Zug gegen Wädenswil</t>
  </si>
  <si>
    <t>Emanuel Dejung und Willy Wuhrmann (Hg.): Zürcher Pfarrbuch 1519-1952, Zürich: Schulthess &amp; Co., S. 347f.</t>
  </si>
  <si>
    <t>place_032</t>
  </si>
  <si>
    <t>institution_033</t>
  </si>
  <si>
    <t>Samaria</t>
  </si>
  <si>
    <t>Samarien</t>
  </si>
  <si>
    <t>Region im Norden vom Westjordanland</t>
  </si>
  <si>
    <t>person_020</t>
  </si>
  <si>
    <t>work_011</t>
  </si>
  <si>
    <t>Redinger</t>
  </si>
  <si>
    <t>institution_034</t>
  </si>
  <si>
    <t>place_033</t>
  </si>
  <si>
    <t>Buech der Freunden Stammen</t>
  </si>
  <si>
    <t>119020475</t>
  </si>
  <si>
    <t>Kedronbach</t>
  </si>
  <si>
    <t>Pfarrer in Dietikon, Reisen nach Amsterdam, Ungarn, Frankreich, verheiratet mit Barbara Simler, der Tochter von Johann Wilhelm Simler</t>
  </si>
  <si>
    <t>https://hls-dhs-dss.ch/de/articles/010793/2011-12-21/; Emanuel Dejung und Willy Wuhrmann (Hg.): Zürcher Pfarrbuch 1519-1952, Zürich: Schulthess &amp; Co., S. 478.</t>
  </si>
  <si>
    <t>Bach im Kidrontal, Jerusalem</t>
  </si>
  <si>
    <t>person_021</t>
  </si>
  <si>
    <t>place_034</t>
  </si>
  <si>
    <t>Garten von Getsemani</t>
  </si>
  <si>
    <t>Blass</t>
  </si>
  <si>
    <t>Johannes</t>
  </si>
  <si>
    <t>Biblischer Ort</t>
  </si>
  <si>
    <t>1089562454</t>
  </si>
  <si>
    <t>Provisor in Winterthur, erster Pfarrer in Winterthur</t>
  </si>
  <si>
    <t>Emanuel Dejung und Willy Wuhrmann (Hg.): Zürcher Pfarrbuch 1519-1952, Zürich: Schulthess und Co., 1953, S. 199.</t>
  </si>
  <si>
    <t>place_035</t>
  </si>
  <si>
    <t>Urdorf</t>
  </si>
  <si>
    <t>person_022</t>
  </si>
  <si>
    <t>work_012</t>
  </si>
  <si>
    <t>Politische Gemeinde im Bezirk Dietikon im Kanton Zürich</t>
  </si>
  <si>
    <t>Rhagor</t>
  </si>
  <si>
    <t>Daniel</t>
  </si>
  <si>
    <t>124538282</t>
  </si>
  <si>
    <t xml:space="preserve">Christen-Spiegel, das ist, Bedenkliche Erinnerungen über die Beruoffspflichten aller Ständen </t>
  </si>
  <si>
    <t>Landvogt zu Gottstatt und Thorberg, Mitglied des Berner Grossen Rats, Landwirt und Botaniker</t>
  </si>
  <si>
    <t>place_036</t>
  </si>
  <si>
    <t>Meyer, Conrad</t>
  </si>
  <si>
    <t>https://hls-dhs-dss.ch/de/articles/026107/2011-11-03/</t>
  </si>
  <si>
    <t>Geiren-Rein</t>
  </si>
  <si>
    <t>1657</t>
  </si>
  <si>
    <t>Conrad Meyer</t>
  </si>
  <si>
    <t>place_037</t>
  </si>
  <si>
    <t>person_024</t>
  </si>
  <si>
    <r>
      <rPr>
        <color rgb="FF1155CC"/>
        <u/>
      </rPr>
      <t>https://doi.org/10.3931/e-rara-8695</t>
    </r>
  </si>
  <si>
    <t>Falk von Traubenberg</t>
  </si>
  <si>
    <t>Aeugst</t>
  </si>
  <si>
    <t>Ehrenhold</t>
  </si>
  <si>
    <t>Aeugst am Albis</t>
  </si>
  <si>
    <t>Politische Gemeinde im Bezirk Affoltern im Kanton Zürich</t>
  </si>
  <si>
    <t>Pseudonym</t>
  </si>
  <si>
    <t>place_038</t>
  </si>
  <si>
    <t>Riedt</t>
  </si>
  <si>
    <t>work_013</t>
  </si>
  <si>
    <t>person_025</t>
  </si>
  <si>
    <t>Rudolf</t>
  </si>
  <si>
    <t>Viergeticht</t>
  </si>
  <si>
    <t>117387843</t>
  </si>
  <si>
    <t>Helvetismus-ID</t>
  </si>
  <si>
    <t>Arzt, Theologe</t>
  </si>
  <si>
    <t>place_039</t>
  </si>
  <si>
    <t>https://hls-dhs-dss.ch/de/articles/046252</t>
  </si>
  <si>
    <t>Europa</t>
  </si>
  <si>
    <t>Helvetismus</t>
  </si>
  <si>
    <t>Bedeutung</t>
  </si>
  <si>
    <t>Kontinent</t>
  </si>
  <si>
    <t>Link Idiotikon</t>
  </si>
  <si>
    <t>helvetism_001</t>
  </si>
  <si>
    <t>person_026</t>
  </si>
  <si>
    <t>place_040</t>
  </si>
  <si>
    <t>Bärholz</t>
  </si>
  <si>
    <t>Runs</t>
  </si>
  <si>
    <t>Osir</t>
  </si>
  <si>
    <t>Strömung</t>
  </si>
  <si>
    <t>https://digital.idiotikon.ch/idtkn/id6.htm#!page/61141/mode/1up</t>
  </si>
  <si>
    <t>128816708</t>
  </si>
  <si>
    <t>Deutscher Dichter</t>
  </si>
  <si>
    <t>Ophir</t>
  </si>
  <si>
    <t>https://de.wikipedia.org/wiki/Daniel_B%C3%A4rholz</t>
  </si>
  <si>
    <t>work_014</t>
  </si>
  <si>
    <t>Goldland in der hebräischen Bibel</t>
  </si>
  <si>
    <t>Regentenspiegel</t>
  </si>
  <si>
    <t>place_041</t>
  </si>
  <si>
    <t>person_027</t>
  </si>
  <si>
    <t>Basadingen</t>
  </si>
  <si>
    <t>Veiras</t>
  </si>
  <si>
    <t>Hans Franz</t>
  </si>
  <si>
    <t>helvetism_002</t>
  </si>
  <si>
    <t>Ortschaft im Kanton Thurgau</t>
  </si>
  <si>
    <t>128874090</t>
  </si>
  <si>
    <t>Schriftsteller, Verfasser der "Heutelia" (1658)</t>
  </si>
  <si>
    <t>https://hls-dhs-dss.ch/de/articles/012364/2013-02-21/</t>
  </si>
  <si>
    <t>helvetism_003</t>
  </si>
  <si>
    <t>place_042</t>
  </si>
  <si>
    <t>Diessenhofen</t>
  </si>
  <si>
    <t>helvetism_004</t>
  </si>
  <si>
    <t>Politische Gemeinde im Kanton Thurgau</t>
  </si>
  <si>
    <t>person_028</t>
  </si>
  <si>
    <t>work_015</t>
  </si>
  <si>
    <t>Vergilius Maro</t>
  </si>
  <si>
    <t>Publius</t>
  </si>
  <si>
    <t>70 v. Chr.</t>
  </si>
  <si>
    <t>19 v. Chr.</t>
  </si>
  <si>
    <t>helvetism_005</t>
  </si>
  <si>
    <t>118626574</t>
  </si>
  <si>
    <t>Römischer Dichter</t>
  </si>
  <si>
    <t>Türckischer Jammerspiegel</t>
  </si>
  <si>
    <t>place_043</t>
  </si>
  <si>
    <t>https://de.wikipedia.org/wiki/Vergil</t>
  </si>
  <si>
    <t>1664</t>
  </si>
  <si>
    <t>Rhein</t>
  </si>
  <si>
    <t>helvetism_006</t>
  </si>
  <si>
    <t>person_029</t>
  </si>
  <si>
    <t>place_044</t>
  </si>
  <si>
    <t>helvetism_007</t>
  </si>
  <si>
    <t>Buchner</t>
  </si>
  <si>
    <t>August</t>
  </si>
  <si>
    <t>Arabisches Reich</t>
  </si>
  <si>
    <t>118913859</t>
  </si>
  <si>
    <t>Altphilologe, Dichter, Literaturtheoretiker</t>
  </si>
  <si>
    <t>https://de.wikipedia.org/wiki/August_Buchner</t>
  </si>
  <si>
    <t>Historisches Reich</t>
  </si>
  <si>
    <t>work_016</t>
  </si>
  <si>
    <t>place_045</t>
  </si>
  <si>
    <t>Theatrum concionum sacr. topicum</t>
  </si>
  <si>
    <t>Libanon</t>
  </si>
  <si>
    <t>person_030</t>
  </si>
  <si>
    <t>Anhorn, Bartholomäus</t>
  </si>
  <si>
    <t>Venator</t>
  </si>
  <si>
    <t>Balthasar</t>
  </si>
  <si>
    <t>Staat in Vorderasien</t>
  </si>
  <si>
    <t>1670</t>
  </si>
  <si>
    <t>117369993</t>
  </si>
  <si>
    <t>Späthumanist, neulateinischer Dichter und Satiriker</t>
  </si>
  <si>
    <t>https://de.wikipedia.org/wiki/Balthasar_Venator</t>
  </si>
  <si>
    <t>Johann Jakob Birr</t>
  </si>
  <si>
    <t>place_046</t>
  </si>
  <si>
    <t>Emmaus</t>
  </si>
  <si>
    <r>
      <rPr>
        <color rgb="FF1155CC"/>
        <u/>
      </rPr>
      <t>https://doi.org/10.3931/e-rara-80050</t>
    </r>
  </si>
  <si>
    <t>Ort in der Nähe von Jerusalem, biblischer Schauplatz</t>
  </si>
  <si>
    <t>person_031</t>
  </si>
  <si>
    <t>Nüssler</t>
  </si>
  <si>
    <t xml:space="preserve">Bernhard Wilhem </t>
  </si>
  <si>
    <t>1597/1598</t>
  </si>
  <si>
    <t>place_047</t>
  </si>
  <si>
    <t>129154652</t>
  </si>
  <si>
    <t>Helikon</t>
  </si>
  <si>
    <t>Dichter</t>
  </si>
  <si>
    <t>https://www.deutsche-digitale-bibliothek.de/person/gnd/129154652</t>
  </si>
  <si>
    <t>Berg in Griechenland, Wohnsitz der Musen</t>
  </si>
  <si>
    <t>work_017</t>
  </si>
  <si>
    <t>place_048</t>
  </si>
  <si>
    <t>Pindos</t>
  </si>
  <si>
    <t>Seelen-Angst Christi</t>
  </si>
  <si>
    <t>person_032</t>
  </si>
  <si>
    <t>Wild, Abraham</t>
  </si>
  <si>
    <t>Weckherlin</t>
  </si>
  <si>
    <t>Georg Rudolf</t>
  </si>
  <si>
    <t>Gebirge in Griechenland, mythologischer Ort der Musen</t>
  </si>
  <si>
    <t>118629840</t>
  </si>
  <si>
    <t>Deutscher Lyriker, Hofdichter von Johann Friedrich von Württemberg</t>
  </si>
  <si>
    <t>Johann Wilhelm Simler</t>
  </si>
  <si>
    <t>https://de.wikipedia.org/wiki/Georg_Rodolf_Weckherlin</t>
  </si>
  <si>
    <t>place_049</t>
  </si>
  <si>
    <t>Neckar</t>
  </si>
  <si>
    <t>https://doi.org/10.3931/e-rara-9901</t>
  </si>
  <si>
    <t>Fluss in Deutschland</t>
  </si>
  <si>
    <t>person_033</t>
  </si>
  <si>
    <t>Hübner</t>
  </si>
  <si>
    <t>place_050</t>
  </si>
  <si>
    <t>Tobias</t>
  </si>
  <si>
    <t>Kurpfalz</t>
  </si>
  <si>
    <t>120079291</t>
  </si>
  <si>
    <t>Deutscher Barockdichter und Literaturtheoretiker, Mitglied der Fruchtbringenden Gesellschaft</t>
  </si>
  <si>
    <t>https://de.wikipedia.org/wiki/Tobias_Hübner</t>
  </si>
  <si>
    <t>Historisches Territorium im Heiligen Römischen Reich</t>
  </si>
  <si>
    <t>work_018</t>
  </si>
  <si>
    <t>person_034</t>
  </si>
  <si>
    <t>place_051</t>
  </si>
  <si>
    <t>Du Bartas</t>
  </si>
  <si>
    <t>Dichterische Versuchgabe</t>
  </si>
  <si>
    <t>Guillaume de Salluste</t>
  </si>
  <si>
    <t>Eglisau</t>
  </si>
  <si>
    <t>Grob, Johannes</t>
  </si>
  <si>
    <t>118680951</t>
  </si>
  <si>
    <t>Französischer Dichter</t>
  </si>
  <si>
    <t>1678</t>
  </si>
  <si>
    <t>https://de.wikipedia.org/wiki/Guillaume_de_Saluste_du_Bartas</t>
  </si>
  <si>
    <t>Johann Brandmüller</t>
  </si>
  <si>
    <t>place_052</t>
  </si>
  <si>
    <r>
      <rPr>
        <color rgb="FF1155CC"/>
        <u/>
      </rPr>
      <t>https://doi.org/10.3931/e-rara-78709</t>
    </r>
  </si>
  <si>
    <t>Altenklingen</t>
  </si>
  <si>
    <t>person_035</t>
  </si>
  <si>
    <t>Gamon</t>
  </si>
  <si>
    <t>Christophe de</t>
  </si>
  <si>
    <t>1055548807</t>
  </si>
  <si>
    <t>place_053</t>
  </si>
  <si>
    <t>Altorff</t>
  </si>
  <si>
    <t>person_036</t>
  </si>
  <si>
    <t>work_019</t>
  </si>
  <si>
    <t>Werder</t>
  </si>
  <si>
    <t>Diederich von dem</t>
  </si>
  <si>
    <t>118767038</t>
  </si>
  <si>
    <t>place_054</t>
  </si>
  <si>
    <t>Kriegs-Büchlein</t>
  </si>
  <si>
    <t>(Kirchenlied-)Dichter, Diplomat, Übersetzer, Mitglied der Fruchtbringenden Gesellschaft</t>
  </si>
  <si>
    <t>Lavater, Hans Conrad</t>
  </si>
  <si>
    <t>Glarus</t>
  </si>
  <si>
    <t>https://de.wikipedia.org/wiki/Diederich_von_dem_Werder</t>
  </si>
  <si>
    <t>1644</t>
  </si>
  <si>
    <t>Hans Conrad Lavater</t>
  </si>
  <si>
    <r>
      <rPr>
        <color rgb="FF1155CC"/>
        <u/>
      </rPr>
      <t>https://doi.org/10.3931/e-rara-9832</t>
    </r>
  </si>
  <si>
    <t>person_037</t>
  </si>
  <si>
    <t>place_055</t>
  </si>
  <si>
    <t>Lund</t>
  </si>
  <si>
    <t>Reformierte Kirche Berg am Irchel</t>
  </si>
  <si>
    <t>Zacharias</t>
  </si>
  <si>
    <t>Bergerkirche</t>
  </si>
  <si>
    <t>121448231</t>
  </si>
  <si>
    <t>Deutschsprachiger Dichter, klassischer Philologe aus Dänemark, Bibliothekar</t>
  </si>
  <si>
    <t>work_020</t>
  </si>
  <si>
    <t>https://de.wikipedia.org/wiki/Zacharias_Lund</t>
  </si>
  <si>
    <t>Außerleßne Psalmen Davids</t>
  </si>
  <si>
    <t>place_056</t>
  </si>
  <si>
    <t>Sodom</t>
  </si>
  <si>
    <t>person_038</t>
  </si>
  <si>
    <t>Stadt im alten Testament, die wegen Sündhaftigkeit ihrer Einwohner:innen von Feuer und Schwefel zerstört wurde</t>
  </si>
  <si>
    <t>Rist</t>
  </si>
  <si>
    <t>https://doi.org/10.3931/e-rara-10087</t>
  </si>
  <si>
    <t>118745425</t>
  </si>
  <si>
    <t>Deutscher Dichter und evangelisch-lutherischer Theologie, Mitglied der Fruchtbringenden Gesellschaft</t>
  </si>
  <si>
    <t>place_057</t>
  </si>
  <si>
    <t>https://de.wikipedia.org/wiki/Johann_Rist</t>
  </si>
  <si>
    <t>Haus zur Sonnenblume</t>
  </si>
  <si>
    <t>work_021</t>
  </si>
  <si>
    <t>Sterbensspiegel/ das ist sonnenklare Vorstellung menschlicher Nichtigkeit durch alle Staend und Geschlechter</t>
  </si>
  <si>
    <t>person_039</t>
  </si>
  <si>
    <t>Meyer, Conrad / Meyer, Rudolf</t>
  </si>
  <si>
    <t>place_058</t>
  </si>
  <si>
    <t>Steffen</t>
  </si>
  <si>
    <t>Hans Jakob</t>
  </si>
  <si>
    <t>Geissturm</t>
  </si>
  <si>
    <t>1089514271</t>
  </si>
  <si>
    <t>Pfarrer in Weinfelden</t>
  </si>
  <si>
    <t>Bauwerk</t>
  </si>
  <si>
    <t>Pulverturm</t>
  </si>
  <si>
    <r>
      <rPr>
        <color rgb="FF1155CC"/>
        <u/>
      </rPr>
      <t>https://doi.org/10.3931/e-rara-11497</t>
    </r>
  </si>
  <si>
    <t>place_059</t>
  </si>
  <si>
    <t>Konstantinopel</t>
  </si>
  <si>
    <t>person_040</t>
  </si>
  <si>
    <t>Istanbul</t>
  </si>
  <si>
    <t>Amman</t>
  </si>
  <si>
    <t xml:space="preserve">Johann Ulrich </t>
  </si>
  <si>
    <t>work_022</t>
  </si>
  <si>
    <t>11647761X</t>
  </si>
  <si>
    <t>Warhaffte/ vnd in Gottes Wort wol gegründte Widerlegung Des newlich im Truck außgegangnen ohn-Catholischen Gesprächs von Religion oder Glaubens sachen/ geneñt der Augenspiegel</t>
  </si>
  <si>
    <t>Pfarrer in Berlingen (Thurgau), Dichter</t>
  </si>
  <si>
    <t>Vollenweider, Jakob</t>
  </si>
  <si>
    <t>place_060</t>
  </si>
  <si>
    <t>Emanuel Dejung und Willy Wuhrmann (Hg.): Zürcher Pfarrbuch 1519-1952, Zürich: Schulthess &amp; Co., S. 180.</t>
  </si>
  <si>
    <t>1642</t>
  </si>
  <si>
    <t>Stein am Rhein</t>
  </si>
  <si>
    <t>person_041</t>
  </si>
  <si>
    <r>
      <rPr>
        <color rgb="FF1155CC"/>
        <u/>
      </rPr>
      <t>https://doi.org/10.3931/e-rara-79716</t>
    </r>
  </si>
  <si>
    <t>Venus</t>
  </si>
  <si>
    <t>place_061</t>
  </si>
  <si>
    <t>11876800X</t>
  </si>
  <si>
    <t>Römische Göttin der Liebe, Schönheit und des Begehrens</t>
  </si>
  <si>
    <t>Marburg</t>
  </si>
  <si>
    <t>Mythologische Figur</t>
  </si>
  <si>
    <t>https://de.wikipedia.org/wiki/Venus_(Mythologie)</t>
  </si>
  <si>
    <t>Stadt in Deutschland</t>
  </si>
  <si>
    <t>work_023</t>
  </si>
  <si>
    <t>Augspiegels Wahrer Religion Erster Theil</t>
  </si>
  <si>
    <t>place_062</t>
  </si>
  <si>
    <t>Gothard, Johann Wilhelm</t>
  </si>
  <si>
    <t>person_042</t>
  </si>
  <si>
    <t>1639</t>
  </si>
  <si>
    <t>Elbląg</t>
  </si>
  <si>
    <t>Cupido</t>
  </si>
  <si>
    <t>Elbing</t>
  </si>
  <si>
    <t>Luzern</t>
  </si>
  <si>
    <t>David Hautt</t>
  </si>
  <si>
    <t>Stadt in Preußen (heute Polen)</t>
  </si>
  <si>
    <t>118677500</t>
  </si>
  <si>
    <t>Römischer Gott der Liebe</t>
  </si>
  <si>
    <r>
      <rPr>
        <color rgb="FF1155CC"/>
        <u/>
      </rPr>
      <t>https://doi.org/10.3931/e-rara-51775</t>
    </r>
  </si>
  <si>
    <t>https://de.wikipedia.org/wiki/Amor_(Mythologie)</t>
  </si>
  <si>
    <t>place_063</t>
  </si>
  <si>
    <t>Preussen</t>
  </si>
  <si>
    <t>Zusammenführen mit "Amor"</t>
  </si>
  <si>
    <t>Historische Region und Staat in Europa</t>
  </si>
  <si>
    <t>work_024</t>
  </si>
  <si>
    <t>De kracht der Godsaligheyt</t>
  </si>
  <si>
    <t>person_043</t>
  </si>
  <si>
    <t>place_064</t>
  </si>
  <si>
    <t>Trigland, Jacobus</t>
  </si>
  <si>
    <t>1631</t>
  </si>
  <si>
    <t>Xerxes I.</t>
  </si>
  <si>
    <t>Heilbäder Baden</t>
  </si>
  <si>
    <t>Amsterdam</t>
  </si>
  <si>
    <t>519 v. Chr.</t>
  </si>
  <si>
    <t>465 v. Chr.</t>
  </si>
  <si>
    <t>Marten Jansz Brandt</t>
  </si>
  <si>
    <t>118808109</t>
  </si>
  <si>
    <t>Persischer Herrscher, ägyptischer Pharao und achämenidischer Grosskönig</t>
  </si>
  <si>
    <t>https://de.wikipedia.org/wiki/Xerxes_I.</t>
  </si>
  <si>
    <t>place_065</t>
  </si>
  <si>
    <t>Bad Schinznach</t>
  </si>
  <si>
    <t>work_025</t>
  </si>
  <si>
    <t>Heilbad in der Schweiz</t>
  </si>
  <si>
    <t>person_044</t>
  </si>
  <si>
    <t>Christlicher Wandersmann</t>
  </si>
  <si>
    <t>Paulus von Tarsus</t>
  </si>
  <si>
    <t>Hottinger, Johann Heinrich</t>
  </si>
  <si>
    <t>1666</t>
  </si>
  <si>
    <t>place_066</t>
  </si>
  <si>
    <t>118641549</t>
  </si>
  <si>
    <t>Girenbad</t>
  </si>
  <si>
    <t>Michael Schauffelberger</t>
  </si>
  <si>
    <t>Gyren-Bad</t>
  </si>
  <si>
    <t>Apostel, Heiliger, Missionar</t>
  </si>
  <si>
    <t>Biblische Figur</t>
  </si>
  <si>
    <t>https://de.wikipedia.org/wiki/Paulus_von_Tarsus</t>
  </si>
  <si>
    <t>https://www.e-rara.ch/zuz/content/titleinfo/3198523</t>
  </si>
  <si>
    <t>Kurbad in Hinwil</t>
  </si>
  <si>
    <t>place_067</t>
  </si>
  <si>
    <t>Wängibad</t>
  </si>
  <si>
    <t>Wengi, Wängi</t>
  </si>
  <si>
    <t>person_045</t>
  </si>
  <si>
    <r>
      <rPr>
        <color rgb="FF1F1F1F"/>
      </rPr>
      <t xml:space="preserve">Kurbad, </t>
    </r>
    <r>
      <rPr>
        <color rgb="FF434343"/>
        <u/>
      </rPr>
      <t>https://search.ortsnamen.ch/de/record/7001562/</t>
    </r>
  </si>
  <si>
    <t>work_026</t>
  </si>
  <si>
    <t>Phöbus</t>
  </si>
  <si>
    <t>"Bernerischer Apothecker-Tax"</t>
  </si>
  <si>
    <t>Ziegler</t>
  </si>
  <si>
    <t>Beiname des griechischen Gottes Apollo: Griechischer Gott des Lichts und der Künste</t>
  </si>
  <si>
    <t>Zusammenführen mit "Apollon"</t>
  </si>
  <si>
    <t>Noch unklar</t>
  </si>
  <si>
    <t>place_068</t>
  </si>
  <si>
    <t>person_046</t>
  </si>
  <si>
    <t>work_027</t>
  </si>
  <si>
    <t>Neidhart</t>
  </si>
  <si>
    <t>Doppelt, löschen</t>
  </si>
  <si>
    <t>Wolriechende geistliche Violblumen für eingründige Seelen</t>
  </si>
  <si>
    <t>Eine zum Appellativ gewordener Eigenname, personizifierter Neid</t>
  </si>
  <si>
    <t>1669</t>
  </si>
  <si>
    <t>https://www.dwds.de/wb/dwb/neidhard</t>
  </si>
  <si>
    <t>place_069</t>
  </si>
  <si>
    <t>Bassersdorf</t>
  </si>
  <si>
    <r>
      <rPr>
        <color rgb="FF1155CC"/>
        <u/>
      </rPr>
      <t>https://doi.org/10.3931/e-rara-12361</t>
    </r>
  </si>
  <si>
    <t>person_048</t>
  </si>
  <si>
    <t>place_070</t>
  </si>
  <si>
    <t>Hauptwil</t>
  </si>
  <si>
    <t>work_028</t>
  </si>
  <si>
    <t>Hauptwil-Gottshaus</t>
  </si>
  <si>
    <t>Pegasos</t>
  </si>
  <si>
    <t>Catechismus: das ist christlicher und kurtzer Underricht in Glaubens Sachen: sampt den Zertheilungen einer jeden Fraag und Zeügnussen der H. Schrifft</t>
  </si>
  <si>
    <t>Suter, Hans Kaspar</t>
  </si>
  <si>
    <t>1177950278</t>
  </si>
  <si>
    <t>Geflügeltes Pferd in der griechischen Mythologie</t>
  </si>
  <si>
    <t>https://de.wikipedia.org/wiki/Pegasos_(Mythologie)</t>
  </si>
  <si>
    <t>place_071</t>
  </si>
  <si>
    <t>Schaffhausen</t>
  </si>
  <si>
    <r>
      <rPr>
        <color rgb="FF434343"/>
        <u/>
      </rPr>
      <t>https://swisscollections.ch/Record/991043894759705501?sid=203216438</t>
    </r>
    <r>
      <rPr>
        <color rgb="FF1F1F1F"/>
      </rPr>
      <t xml:space="preserve"> War als "Zeugnisbuch" bekannt (De Vincenti, Schule der Gesellschaft, S. 89)</t>
    </r>
  </si>
  <si>
    <t>person_049</t>
  </si>
  <si>
    <t>David</t>
  </si>
  <si>
    <t>place_072</t>
  </si>
  <si>
    <t>118523929</t>
  </si>
  <si>
    <t>Wädenswil</t>
  </si>
  <si>
    <t>Biblische Figur, König von Israel</t>
  </si>
  <si>
    <t>https://de.wikipedia.org/wiki/David</t>
  </si>
  <si>
    <t>Landvogtei</t>
  </si>
  <si>
    <t>work_029</t>
  </si>
  <si>
    <t>Gaistliche und Weltliche Gedichte</t>
  </si>
  <si>
    <t>Weckherlin, Georg Rodolf</t>
  </si>
  <si>
    <t>person_050</t>
  </si>
  <si>
    <t>place_073</t>
  </si>
  <si>
    <t>1641</t>
  </si>
  <si>
    <t>Fama</t>
  </si>
  <si>
    <t>Jansson, Johan</t>
  </si>
  <si>
    <t>Freiamt</t>
  </si>
  <si>
    <t>1239081006</t>
  </si>
  <si>
    <t>https://www.deutschestextarchiv.de/book/show/weckherlin_gedichte_1641</t>
  </si>
  <si>
    <t>Römische Gottheit des Ruhms und Gerüchts</t>
  </si>
  <si>
    <t>person_051</t>
  </si>
  <si>
    <t>Tasso</t>
  </si>
  <si>
    <t>Torquato</t>
  </si>
  <si>
    <t>place_074</t>
  </si>
  <si>
    <t>118620916</t>
  </si>
  <si>
    <t>Grüningen</t>
  </si>
  <si>
    <t>Italienischer Dichter</t>
  </si>
  <si>
    <t>https://de.wikipedia.org/wiki/Torquato_Tasso</t>
  </si>
  <si>
    <t>work_030</t>
  </si>
  <si>
    <t>person_052</t>
  </si>
  <si>
    <t>place_075</t>
  </si>
  <si>
    <t>Saul</t>
  </si>
  <si>
    <t>118605836</t>
  </si>
  <si>
    <t>Kefikon</t>
  </si>
  <si>
    <t>Erster König von Isreal</t>
  </si>
  <si>
    <t>https://de.wikipedia.org/wiki/Saul</t>
  </si>
  <si>
    <t>work_031</t>
  </si>
  <si>
    <t>place_076</t>
  </si>
  <si>
    <t>person_053</t>
  </si>
  <si>
    <t>Abschalom</t>
  </si>
  <si>
    <t>Maienfeld</t>
  </si>
  <si>
    <t>120527057</t>
  </si>
  <si>
    <t>Dritter Sohn von König David und Halbbruder von Salomon</t>
  </si>
  <si>
    <t>https://de.wikipedia.org/wiki/Abschalom</t>
  </si>
  <si>
    <t>work_032</t>
  </si>
  <si>
    <t>place_077</t>
  </si>
  <si>
    <t>person_054</t>
  </si>
  <si>
    <t>Schloss Greifensee</t>
  </si>
  <si>
    <t>Achisch</t>
  </si>
  <si>
    <t>4435366-2</t>
  </si>
  <si>
    <t>1170280579</t>
  </si>
  <si>
    <t>Philisterkönig von Gath</t>
  </si>
  <si>
    <t>work_033</t>
  </si>
  <si>
    <t>person_055</t>
  </si>
  <si>
    <t>place_078</t>
  </si>
  <si>
    <t>Abraham</t>
  </si>
  <si>
    <t>Lindenhof (Zürich)</t>
  </si>
  <si>
    <t>118500201</t>
  </si>
  <si>
    <t>Der erste der drei Erzväter des Volkes Israel</t>
  </si>
  <si>
    <t>https://de.wikipedia.org/wiki/Abraham</t>
  </si>
  <si>
    <t>Hügel und Park in Zürich</t>
  </si>
  <si>
    <t>work_034</t>
  </si>
  <si>
    <t>place_079</t>
  </si>
  <si>
    <t>person_056</t>
  </si>
  <si>
    <t>Galg-Brunnen (Zürich)</t>
  </si>
  <si>
    <t>Aaron</t>
  </si>
  <si>
    <t>118500031</t>
  </si>
  <si>
    <t>work_035</t>
  </si>
  <si>
    <t>Bruder von Moses, erster Hohepriester der Israeliten</t>
  </si>
  <si>
    <t>https://de.wikipedia.org/wiki/Aaron_(biblische_Person)</t>
  </si>
  <si>
    <t>place_080</t>
  </si>
  <si>
    <t>Kornhaus (Zürich)</t>
  </si>
  <si>
    <t>work_036</t>
  </si>
  <si>
    <t>person_057</t>
  </si>
  <si>
    <t>Asaf</t>
  </si>
  <si>
    <t>118650564</t>
  </si>
  <si>
    <t>place_081</t>
  </si>
  <si>
    <t>Gesangsmeister Davids</t>
  </si>
  <si>
    <t>work_037</t>
  </si>
  <si>
    <t>Sparrenberg (Zürich)</t>
  </si>
  <si>
    <t>https://de.wikipedia.org/wiki/Asaf</t>
  </si>
  <si>
    <t>work_038</t>
  </si>
  <si>
    <t>person_058</t>
  </si>
  <si>
    <t>place_082</t>
  </si>
  <si>
    <t>Thurgau</t>
  </si>
  <si>
    <t>Doëg</t>
  </si>
  <si>
    <t>1221562711</t>
  </si>
  <si>
    <t>work_039</t>
  </si>
  <si>
    <t>Aus dem Stamm der Edomiter, diente im Heer König Sauls</t>
  </si>
  <si>
    <t>https://de.wikipedia.org/wiki/Doëg</t>
  </si>
  <si>
    <t>place_083</t>
  </si>
  <si>
    <t>Niederlande</t>
  </si>
  <si>
    <t>person_059</t>
  </si>
  <si>
    <t>Hiskija</t>
  </si>
  <si>
    <t>11863965X</t>
  </si>
  <si>
    <t>König von Juda</t>
  </si>
  <si>
    <t>place_084</t>
  </si>
  <si>
    <t>https://de.wikipedia.org/wiki/Hiskija</t>
  </si>
  <si>
    <t>Holland</t>
  </si>
  <si>
    <t>Region in den Niederlanden</t>
  </si>
  <si>
    <t>person_060</t>
  </si>
  <si>
    <t>place_085</t>
  </si>
  <si>
    <t>Jakob</t>
  </si>
  <si>
    <t>Wigoltingen</t>
  </si>
  <si>
    <t>118556746</t>
  </si>
  <si>
    <t>Auch Israel genannt, Sohn von Isaak und Rebekka und damit Enkel von Abraham, Dritter der Erzväter der Israeliten</t>
  </si>
  <si>
    <t>https://de.wikipedia.org/wiki/Jakobus_der_Ältere</t>
  </si>
  <si>
    <t>place_086</t>
  </si>
  <si>
    <t>person_061</t>
  </si>
  <si>
    <t>Kastalische Quelle</t>
  </si>
  <si>
    <t>Adam</t>
  </si>
  <si>
    <t>Quelle am Fuß des Parnass</t>
  </si>
  <si>
    <t>118646877</t>
  </si>
  <si>
    <t>Stammvater aller Menschen im Buch Genesis</t>
  </si>
  <si>
    <t>https://de.wikipedia.org/wiki/Adam_und_Eva</t>
  </si>
  <si>
    <t>place_087</t>
  </si>
  <si>
    <t>Lägern</t>
  </si>
  <si>
    <t>Höhenrücken in den Kantonen Aargau und Zürich</t>
  </si>
  <si>
    <t>person_062</t>
  </si>
  <si>
    <t>Eva</t>
  </si>
  <si>
    <t>place_088</t>
  </si>
  <si>
    <t>118531441</t>
  </si>
  <si>
    <t>Texel</t>
  </si>
  <si>
    <t>Stammmutter aller Menschen im Buch Genesis</t>
  </si>
  <si>
    <t>Insel in den Niederlanden</t>
  </si>
  <si>
    <t>person_063</t>
  </si>
  <si>
    <t>place_089</t>
  </si>
  <si>
    <t>Vlieland</t>
  </si>
  <si>
    <t>Barabbas</t>
  </si>
  <si>
    <t>118963821</t>
  </si>
  <si>
    <t>Biblische Figur im Neuen Testament, der zur Zeit des Prozesses von Jesus in römischer Haft war</t>
  </si>
  <si>
    <t>https://de.wikipedia.org/wiki/Barabbas</t>
  </si>
  <si>
    <t>place_090</t>
  </si>
  <si>
    <t>Indien</t>
  </si>
  <si>
    <t>place_091</t>
  </si>
  <si>
    <t>person_064</t>
  </si>
  <si>
    <t>Wien</t>
  </si>
  <si>
    <t>Kajafas</t>
  </si>
  <si>
    <t>129446424</t>
  </si>
  <si>
    <t>Hohepriester von Jerusalem</t>
  </si>
  <si>
    <t>https://de.wikipedia.org/wiki/Kajaphas</t>
  </si>
  <si>
    <t>place_092</t>
  </si>
  <si>
    <t>Deutschland</t>
  </si>
  <si>
    <t>person_065</t>
  </si>
  <si>
    <t>Judas Iskariot</t>
  </si>
  <si>
    <t>118558536</t>
  </si>
  <si>
    <t>Apostel</t>
  </si>
  <si>
    <t>https://de.wikipedia.org/wiki/Judas_Iskariot</t>
  </si>
  <si>
    <t>place_093</t>
  </si>
  <si>
    <t>Ölberg</t>
  </si>
  <si>
    <t>person_066</t>
  </si>
  <si>
    <t>Gabriel</t>
  </si>
  <si>
    <t>place_094</t>
  </si>
  <si>
    <t>119372207</t>
  </si>
  <si>
    <t>Dietikon</t>
  </si>
  <si>
    <t>Erzengel</t>
  </si>
  <si>
    <t>https://de.wikipedia.org/wiki/Erzengel_Gabriel</t>
  </si>
  <si>
    <t>place_095</t>
  </si>
  <si>
    <t>person_067</t>
  </si>
  <si>
    <t>Winterthur</t>
  </si>
  <si>
    <t>Herodes I.</t>
  </si>
  <si>
    <t>118549847</t>
  </si>
  <si>
    <t>König von Judäa</t>
  </si>
  <si>
    <t>https://de.wikipedia.org/wiki/Herodes</t>
  </si>
  <si>
    <t>place_096</t>
  </si>
  <si>
    <t>Pfalz</t>
  </si>
  <si>
    <t>person_069</t>
  </si>
  <si>
    <t>Nikodemus</t>
  </si>
  <si>
    <t>place_097</t>
  </si>
  <si>
    <t>118588001</t>
  </si>
  <si>
    <t>Wird oft als "Führer der jüdischen Bevölkerung" bezeichnet</t>
  </si>
  <si>
    <t>Edenkoben</t>
  </si>
  <si>
    <t>https://de.wikipedia.org/wiki/Nikodemus</t>
  </si>
  <si>
    <t>Stadt im Süden von Rheinland-Pfalz</t>
  </si>
  <si>
    <t>person_070</t>
  </si>
  <si>
    <t>place_098</t>
  </si>
  <si>
    <t>Wüste Juda</t>
  </si>
  <si>
    <t>Pilatus</t>
  </si>
  <si>
    <t>Pontius</t>
  </si>
  <si>
    <t>Judäische Wüste</t>
  </si>
  <si>
    <t>118792172</t>
  </si>
  <si>
    <t>Halbwüste zwischen Israel und dem Westjordanland</t>
  </si>
  <si>
    <t>Römischer Präfekt von Judäa</t>
  </si>
  <si>
    <t>https://de.wikipedia.org/wiki/Pontius_Pilatus</t>
  </si>
  <si>
    <t>place_099</t>
  </si>
  <si>
    <t>Greifensee</t>
  </si>
  <si>
    <t>person_071</t>
  </si>
  <si>
    <t>Titus</t>
  </si>
  <si>
    <t>39 n. Chr.</t>
  </si>
  <si>
    <t>81 n. Chr.</t>
  </si>
  <si>
    <t>118622951</t>
  </si>
  <si>
    <t>Zweiter römischer Kaiser der flavischen Dynastie</t>
  </si>
  <si>
    <t>https://de.wikipedia.org/wiki/Titus</t>
  </si>
  <si>
    <t>place_100</t>
  </si>
  <si>
    <t>person_072</t>
  </si>
  <si>
    <t>Lichtensteig</t>
  </si>
  <si>
    <t>Simon Petrus</t>
  </si>
  <si>
    <t>Politische Gemeinde im Kanton St. Gallen</t>
  </si>
  <si>
    <t>118593323</t>
  </si>
  <si>
    <t>https://de.wikipedia.org/wiki/Simon_Petrus</t>
  </si>
  <si>
    <t>place_101</t>
  </si>
  <si>
    <t>person_073</t>
  </si>
  <si>
    <t>Golgotha</t>
  </si>
  <si>
    <t>Golgota, Golgata</t>
  </si>
  <si>
    <t>118557815</t>
  </si>
  <si>
    <t>Evangelist, Apostel</t>
  </si>
  <si>
    <t xml:space="preserve">Der biblische Ort der Kreuzigung Jesu Christi vor den Toren Jerusalems </t>
  </si>
  <si>
    <t>https://de.wikipedia.org/wiki/Johannes_(Apostel)</t>
  </si>
  <si>
    <t>person_074</t>
  </si>
  <si>
    <t>place_102</t>
  </si>
  <si>
    <t>Jakobus der Ältere</t>
  </si>
  <si>
    <t>Heidelberg</t>
  </si>
  <si>
    <t>118556800</t>
  </si>
  <si>
    <t>Apostel, Heiliger</t>
  </si>
  <si>
    <t>person_075</t>
  </si>
  <si>
    <t>Jona</t>
  </si>
  <si>
    <t>118639951</t>
  </si>
  <si>
    <t>Prophet im Alten Testament</t>
  </si>
  <si>
    <t>place_103</t>
  </si>
  <si>
    <t>https://de.wikipedia.org/wiki/Jona</t>
  </si>
  <si>
    <t>Lindenhofbrunnen</t>
  </si>
  <si>
    <t>person_076</t>
  </si>
  <si>
    <t>Joseph</t>
  </si>
  <si>
    <t>118639986</t>
  </si>
  <si>
    <t>Sohn des Erzvaters Jakob</t>
  </si>
  <si>
    <t>place_104</t>
  </si>
  <si>
    <t>Osmanisches Reich</t>
  </si>
  <si>
    <t>person_078</t>
  </si>
  <si>
    <t>Satan</t>
  </si>
  <si>
    <t>4059588-2</t>
  </si>
  <si>
    <t>https://de.wikipedia.org/wiki/Satan</t>
  </si>
  <si>
    <t>place_105</t>
  </si>
  <si>
    <t>person_079</t>
  </si>
  <si>
    <t>Frauenfeld</t>
  </si>
  <si>
    <t>Abigajil</t>
  </si>
  <si>
    <t>119135434</t>
  </si>
  <si>
    <t>Ehefrau von Nabal, spätere Ehefrau von David</t>
  </si>
  <si>
    <t>https://de.wikipedia.org/wiki/Abigajil#Abigajil,_die_Frau_Nabals_und_spätere_Frau_Davids</t>
  </si>
  <si>
    <t>place_106</t>
  </si>
  <si>
    <t>person_080</t>
  </si>
  <si>
    <t>Regensdorf</t>
  </si>
  <si>
    <t>Hanna</t>
  </si>
  <si>
    <t>119067803</t>
  </si>
  <si>
    <t>Mutter des Propheten Samuels</t>
  </si>
  <si>
    <t>https://de.wikipedia.org/wiki/Hanna_(Bibel)</t>
  </si>
  <si>
    <t>person_081</t>
  </si>
  <si>
    <t>place_107</t>
  </si>
  <si>
    <t>Susanna</t>
  </si>
  <si>
    <t>Leiden</t>
  </si>
  <si>
    <t>118805304</t>
  </si>
  <si>
    <t>Wird in der biblischen Erzählung durch den Propheten Daniel gerettet. Die Susanna-Erzählung befindet sich jedoch nicht in der hebräischen Bibel, sondern nur in der lateinischen und griechischen.</t>
  </si>
  <si>
    <t>https://de.wikipedia.org/wiki/Susanna_im_Bade</t>
  </si>
  <si>
    <t>person_082</t>
  </si>
  <si>
    <t>Ester</t>
  </si>
  <si>
    <t>place_108</t>
  </si>
  <si>
    <t>118682431</t>
  </si>
  <si>
    <t>Königin Ester, Hauptfigur im alttestamentlichen Buch Ester</t>
  </si>
  <si>
    <t>https://de.wikipedia.org/wiki/Ester_(Bibel)</t>
  </si>
  <si>
    <t>Margareten</t>
  </si>
  <si>
    <t>Historisches Gebiet, heute Teil von Wien</t>
  </si>
  <si>
    <t>person_084</t>
  </si>
  <si>
    <t>118623028</t>
  </si>
  <si>
    <t>Sohn des Tobit (Altes Testament)</t>
  </si>
  <si>
    <t>place_109</t>
  </si>
  <si>
    <t>https://de.wikipedia.org/wiki/Tobias_(Sohn_des_Tobit)</t>
  </si>
  <si>
    <t>person_085</t>
  </si>
  <si>
    <t>Asarias</t>
  </si>
  <si>
    <t>119520761</t>
  </si>
  <si>
    <t>Erzengel Raphael, Gefährte des Tobias im Buch Tobit</t>
  </si>
  <si>
    <t>https://de.wikipedia.org/wiki/Erzengel_Raphael</t>
  </si>
  <si>
    <t>place_110</t>
  </si>
  <si>
    <t>person_086</t>
  </si>
  <si>
    <t>Boreas</t>
  </si>
  <si>
    <t>1033685380</t>
  </si>
  <si>
    <t>Griechische Gottheit des Nordwinds</t>
  </si>
  <si>
    <t>https://de.wikipedia.org/wiki/Boreas</t>
  </si>
  <si>
    <t>place_111</t>
  </si>
  <si>
    <t>person_087</t>
  </si>
  <si>
    <t>Ceres</t>
  </si>
  <si>
    <t>118862294</t>
  </si>
  <si>
    <t>Römische Göttin des Ackerbaus und der Fruchtbarkeit</t>
  </si>
  <si>
    <t>https://de.wikipedia.org/wiki/Ceres_(Mythologie)</t>
  </si>
  <si>
    <t>person_088</t>
  </si>
  <si>
    <t>place_112</t>
  </si>
  <si>
    <t>Amor</t>
  </si>
  <si>
    <t>11850262X</t>
  </si>
  <si>
    <t>Gott der Liebe</t>
  </si>
  <si>
    <t>Zusammenführen mit "Cupido"</t>
  </si>
  <si>
    <t>person_089</t>
  </si>
  <si>
    <t>Socrates</t>
  </si>
  <si>
    <t>place_113</t>
  </si>
  <si>
    <t>469 v. Chr.</t>
  </si>
  <si>
    <t>399 v. Chr.</t>
  </si>
  <si>
    <t>118615270</t>
  </si>
  <si>
    <t>Griechischer Philosoph</t>
  </si>
  <si>
    <t>https://de.wikipedia.org/wiki/Sokrates</t>
  </si>
  <si>
    <t>person_090</t>
  </si>
  <si>
    <t>Xanthippe</t>
  </si>
  <si>
    <t>place_114</t>
  </si>
  <si>
    <t>119035995</t>
  </si>
  <si>
    <t>Ehefrau des Sokrates</t>
  </si>
  <si>
    <t>https://de.wikipedia.org/wiki/Xanthippe</t>
  </si>
  <si>
    <t>person_091</t>
  </si>
  <si>
    <t>Mars</t>
  </si>
  <si>
    <t>place_115</t>
  </si>
  <si>
    <t>118731181</t>
  </si>
  <si>
    <t>Römischer Kriegsgott</t>
  </si>
  <si>
    <t>https://de.wikipedia.org/wiki/Mars_(Mythologie)</t>
  </si>
  <si>
    <t>person_092</t>
  </si>
  <si>
    <t>Apollon</t>
  </si>
  <si>
    <t>118503642</t>
  </si>
  <si>
    <t>Gott des Lichts und der Künste, auch Phöbus genannt</t>
  </si>
  <si>
    <t>place_116</t>
  </si>
  <si>
    <t>https://de.wikipedia.org/wiki/Apollon</t>
  </si>
  <si>
    <t>Zusammenführen mit "Phöbus"</t>
  </si>
  <si>
    <t>person_093</t>
  </si>
  <si>
    <t>Sirius</t>
  </si>
  <si>
    <t>mythologische Figur</t>
  </si>
  <si>
    <t>Ist in griechischer Mythologie ein Fixstern/Gestirne und keine mythologische Figur, deshalb löschen? (https://de.wikipedia.org/wiki/Sirius_(Mythologie))</t>
  </si>
  <si>
    <t>place_117</t>
  </si>
  <si>
    <t>person_094</t>
  </si>
  <si>
    <t>Rebekka</t>
  </si>
  <si>
    <t>118836870</t>
  </si>
  <si>
    <t>Frau von Isaak und Mutter der Zwillinge Esau und Jakob</t>
  </si>
  <si>
    <t>https://de.wikipedia.org/wiki/Rebekka</t>
  </si>
  <si>
    <t>place_118</t>
  </si>
  <si>
    <t>person_095</t>
  </si>
  <si>
    <t>Asteria</t>
  </si>
  <si>
    <t>Titanide der griechischen Mythologie</t>
  </si>
  <si>
    <t>https://de.wikipedia.org/wiki/Asteria_(Tochter_des_Koios)</t>
  </si>
  <si>
    <t>person_096</t>
  </si>
  <si>
    <t>place_119</t>
  </si>
  <si>
    <t>Sylvia</t>
  </si>
  <si>
    <t>Allegorische Figur?</t>
  </si>
  <si>
    <t>Könnte dieser Name, so wie er in C Teil 3 benutzt wird, allegorisch für Schäferinnen, Natur, Ländlichkeit stehen? Deshalb evtl. löschen?</t>
  </si>
  <si>
    <t>person_097</t>
  </si>
  <si>
    <t>Felicitas</t>
  </si>
  <si>
    <t>place_120</t>
  </si>
  <si>
    <t>Heilige Felicitas</t>
  </si>
  <si>
    <t>Ist in C Teil 3 erwähnt als "Kalender Heilige", aber unklar, welche Heilige Felicitas genau gemeint ist.</t>
  </si>
  <si>
    <t>person_098</t>
  </si>
  <si>
    <t>Dorothea</t>
  </si>
  <si>
    <t>place_121</t>
  </si>
  <si>
    <t>Im Kontext als allegorische Figur "Geschenk Gottes" zu verstehen? Deshalb evtl. löschen?</t>
  </si>
  <si>
    <t>person_099</t>
  </si>
  <si>
    <t>Im Kontext als allegorische Figur "Gott ist gnädig" zu verstehen? Deshalb evtl. löschen?</t>
  </si>
  <si>
    <t>place_122</t>
  </si>
  <si>
    <t>person_100</t>
  </si>
  <si>
    <t>Sara</t>
  </si>
  <si>
    <t>118751263</t>
  </si>
  <si>
    <t>Gilt als Frau von Abraham und Mutter von Isaak als Erzmutter Israels</t>
  </si>
  <si>
    <t>https://de.wikipedia.org/wiki/Sara_(Erzmutter)</t>
  </si>
  <si>
    <t>person_101</t>
  </si>
  <si>
    <t>place_123</t>
  </si>
  <si>
    <t>Hesiodus</t>
  </si>
  <si>
    <t>118550292</t>
  </si>
  <si>
    <t>Griechischer Dichter</t>
  </si>
  <si>
    <t>https://de.wikipedia.org/wiki/Hesiod#Werk</t>
  </si>
  <si>
    <t>person_102</t>
  </si>
  <si>
    <t>place_124</t>
  </si>
  <si>
    <t>Parmenides</t>
  </si>
  <si>
    <t>ca. 515 v. Chr.</t>
  </si>
  <si>
    <t>ca. 445 v. Chr.</t>
  </si>
  <si>
    <t>118591770</t>
  </si>
  <si>
    <t>Griechischer Philosoph und Erfinder es erkenntnistheoretischen Dualismus</t>
  </si>
  <si>
    <t>https://de.wikipedia.org/wiki/Parmenides</t>
  </si>
  <si>
    <t>person_103</t>
  </si>
  <si>
    <t>Salomo</t>
  </si>
  <si>
    <t>place_125</t>
  </si>
  <si>
    <t>118605100</t>
  </si>
  <si>
    <t>Dritter König von Israel, Sohn von David</t>
  </si>
  <si>
    <t>https://de.wikipedia.org/wiki/Salomo</t>
  </si>
  <si>
    <t>place_126</t>
  </si>
  <si>
    <t>person_104</t>
  </si>
  <si>
    <t>Isaak</t>
  </si>
  <si>
    <t>118555898</t>
  </si>
  <si>
    <t>Sohn des Abrahams und damit ein Erzvater der Israeliten</t>
  </si>
  <si>
    <t>https://de.wikipedia.org/wiki/Isaak</t>
  </si>
  <si>
    <t>place_127</t>
  </si>
  <si>
    <t>person_105</t>
  </si>
  <si>
    <t>Rahel</t>
  </si>
  <si>
    <t>118836889</t>
  </si>
  <si>
    <t>Frau von Jakob, Mutter von Josef und Benjamin</t>
  </si>
  <si>
    <t>https://www.die-bibel.de/ressourcen/wibilex/altes-testament/rahel</t>
  </si>
  <si>
    <t>place_128</t>
  </si>
  <si>
    <t>person_106</t>
  </si>
  <si>
    <t>Ijob</t>
  </si>
  <si>
    <t>118551353</t>
  </si>
  <si>
    <t>Figur aus dem Alten Testament, durch mehrere Schicksalsschläge auf seinen rechten Glauben geprüft</t>
  </si>
  <si>
    <t>https://de.wikipedia.org/wiki/Ijob</t>
  </si>
  <si>
    <t>place_129</t>
  </si>
  <si>
    <t>person_107</t>
  </si>
  <si>
    <t>Simson</t>
  </si>
  <si>
    <t>118605283</t>
  </si>
  <si>
    <t xml:space="preserve">Drittletzter Richter im Alten Israel vor der Königszeit </t>
  </si>
  <si>
    <t>https://de.wikipedia.org/wiki/Simson</t>
  </si>
  <si>
    <t>person_108</t>
  </si>
  <si>
    <t>Sirach</t>
  </si>
  <si>
    <t>place_130</t>
  </si>
  <si>
    <t>118614746</t>
  </si>
  <si>
    <t>Autor des Buches Jesus Sirach</t>
  </si>
  <si>
    <t>https://de.wikipedia.org/wiki/Jesus_Sirach</t>
  </si>
  <si>
    <t>person_109</t>
  </si>
  <si>
    <t>Tell</t>
  </si>
  <si>
    <t xml:space="preserve">Wilhelm </t>
  </si>
  <si>
    <t>118621211</t>
  </si>
  <si>
    <t>Schweizer Sagengestalt, Nationalheld der Schweiz</t>
  </si>
  <si>
    <t>Fiktive Figur</t>
  </si>
  <si>
    <t>https://hls-dhs-dss.ch/de/articles/017475/2013-12-17/</t>
  </si>
  <si>
    <t>place_131</t>
  </si>
  <si>
    <t>person_110</t>
  </si>
  <si>
    <t>Zephir</t>
  </si>
  <si>
    <t>138435669</t>
  </si>
  <si>
    <t>Griechischer Gott des Westwinds und Bote des Frühlings</t>
  </si>
  <si>
    <t>https://de.wikipedia.org/wiki/Zephyr</t>
  </si>
  <si>
    <t>person_111</t>
  </si>
  <si>
    <t>120125374</t>
  </si>
  <si>
    <t>Zwölfter Apostel</t>
  </si>
  <si>
    <t>https://de.wikipedia.org/wiki/Matthias_(Apostel)</t>
  </si>
  <si>
    <t>person_113</t>
  </si>
  <si>
    <t>Gracchus</t>
  </si>
  <si>
    <t xml:space="preserve">Tiberius Sempronius </t>
  </si>
  <si>
    <t>220 v. Chr.</t>
  </si>
  <si>
    <t>150 v. Chr.</t>
  </si>
  <si>
    <t>102394253</t>
  </si>
  <si>
    <t>Römischer Politiker und Konsul</t>
  </si>
  <si>
    <t>https://de.wikipedia.org/wiki/Tiberius_Sempronius_Gracchus_(Konsul_177_v._Chr.)</t>
  </si>
  <si>
    <t>person_114</t>
  </si>
  <si>
    <t>Cornelia</t>
  </si>
  <si>
    <t>190 v. Chr.</t>
  </si>
  <si>
    <t>100 v. Chr.</t>
  </si>
  <si>
    <t>102385661</t>
  </si>
  <si>
    <t>Ehefrau von Tiberius Sempronius Gracchus</t>
  </si>
  <si>
    <t>https://de.wikipedia.org/wiki/Cornelia_(Mutter_der_Gracchen)</t>
  </si>
  <si>
    <t>person_115</t>
  </si>
  <si>
    <t>Mose</t>
  </si>
  <si>
    <t>118641190</t>
  </si>
  <si>
    <t>https://de.wikipedia.org/wiki/Mose</t>
  </si>
  <si>
    <t>person_116</t>
  </si>
  <si>
    <t>Orestes</t>
  </si>
  <si>
    <t>118736558</t>
  </si>
  <si>
    <t>Sohn von Agamemnon, wegen des Mordes an seiner Mutter von Erinnyen geplagt</t>
  </si>
  <si>
    <t>person_117</t>
  </si>
  <si>
    <t>Pylades</t>
  </si>
  <si>
    <t>1371663513</t>
  </si>
  <si>
    <t>Gefährte von Orestes</t>
  </si>
  <si>
    <t>person_118</t>
  </si>
  <si>
    <t>Thurik</t>
  </si>
  <si>
    <t>Sagenhafter Gründer von Zürich</t>
  </si>
  <si>
    <t>Wird auch auf den Wappenscheiben des Klosters Wettingen erwähnt https://als.wikipedia.org/wiki/Wappenscheiben_des_Klosters_Wettingen</t>
  </si>
  <si>
    <t>person_119</t>
  </si>
  <si>
    <t>Midas</t>
  </si>
  <si>
    <t>118924176</t>
  </si>
  <si>
    <t>Mythischer König von Phrygien</t>
  </si>
  <si>
    <t>person_120</t>
  </si>
  <si>
    <t>Simon</t>
  </si>
  <si>
    <t>Sohn des Satans</t>
  </si>
  <si>
    <t>Bedeutung noch unklar</t>
  </si>
  <si>
    <t>person_121</t>
  </si>
  <si>
    <t>Damokles</t>
  </si>
  <si>
    <t>1044283351</t>
  </si>
  <si>
    <t>Figur aus der griechischen Antike</t>
  </si>
  <si>
    <t>person_122</t>
  </si>
  <si>
    <t>Dionysius I. von Syrakus</t>
  </si>
  <si>
    <t>118880101</t>
  </si>
  <si>
    <t>Tyrann von Syrakus, bekannt aus der Geschichte des Damoklesschwerts</t>
  </si>
  <si>
    <t>person_123</t>
  </si>
  <si>
    <t>Kleopatra VII.</t>
  </si>
  <si>
    <t>11856322X</t>
  </si>
  <si>
    <t>Königin von Ägypten</t>
  </si>
  <si>
    <t>person_124</t>
  </si>
  <si>
    <t>Antonius</t>
  </si>
  <si>
    <t>Marcus</t>
  </si>
  <si>
    <t>118503529</t>
  </si>
  <si>
    <t>Römischer Politiker und Feldherr</t>
  </si>
  <si>
    <t>person_126</t>
  </si>
  <si>
    <t>Klio</t>
  </si>
  <si>
    <t>124538487</t>
  </si>
  <si>
    <t>Muse der Geschichtsschreibung</t>
  </si>
  <si>
    <t>person_127</t>
  </si>
  <si>
    <t>Flora</t>
  </si>
  <si>
    <t>118691880</t>
  </si>
  <si>
    <t>Göttin der Blüte und des Frühlings</t>
  </si>
  <si>
    <t>person_133</t>
  </si>
  <si>
    <t>Holzhalb</t>
  </si>
  <si>
    <t>Magdalena</t>
  </si>
  <si>
    <t>21.1.1612</t>
  </si>
  <si>
    <t>Schwester Holzhalb? Frau von Felix Wyss?</t>
  </si>
  <si>
    <t>person_134</t>
  </si>
  <si>
    <t>Waser</t>
  </si>
  <si>
    <t>139095349</t>
  </si>
  <si>
    <t>Stadtschreiber und Bürgermeister von Zürich, Landvogt von Kyburg, Bruder von Johann Caspar Waser</t>
  </si>
  <si>
    <t>https://hls-dhs-dss.ch/de/articles/018055/2013-08-26/</t>
  </si>
  <si>
    <t>person_135</t>
  </si>
  <si>
    <t>Jahel</t>
  </si>
  <si>
    <t>Zweite Ehefrau von Johann Heinrich Waser</t>
  </si>
  <si>
    <t>https://www.hfls.ch/humo-gen/family/1/F144930?main_person=I255733</t>
  </si>
  <si>
    <t>person_136</t>
  </si>
  <si>
    <t>Johann Caspar</t>
  </si>
  <si>
    <t>1019761598</t>
  </si>
  <si>
    <t>Pfarrer in Rümlang bei Zürich, Stiftsherr und Prädikant zum Grossmünster Zürich, Bruder von Johann Heinrich Waser</t>
  </si>
  <si>
    <t>https://hls-dhs-dss.ch/de/articles/010901/2013-08-26/; Emanuel Dejung und Willy Wuhrmann (Hg.): Zürcher Pfarrbuch 1519-1952, Zürich: Schulthess &amp; Co., S. 599f.</t>
  </si>
  <si>
    <t>person_137</t>
  </si>
  <si>
    <t>Orell</t>
  </si>
  <si>
    <t>Esther</t>
  </si>
  <si>
    <t>Zweite Ehefrau von Johann Caspar Waser</t>
  </si>
  <si>
    <t>https://hfls.ch/humo-gen/birthday_family/1/F108044?main_person=I310245</t>
  </si>
  <si>
    <t>person_138</t>
  </si>
  <si>
    <t>Hess</t>
  </si>
  <si>
    <t>1089547692</t>
  </si>
  <si>
    <t>Ratsherr, Obvergobt</t>
  </si>
  <si>
    <t>https://www.hfls.ch/humo-gen/birthday_family/1/F101119?main_person=I289248</t>
  </si>
  <si>
    <t>person_139</t>
  </si>
  <si>
    <t>Schweizer</t>
  </si>
  <si>
    <t>Kleophea</t>
  </si>
  <si>
    <t>Ehefrau von Georg Hess</t>
  </si>
  <si>
    <t>https://www.hfls.ch/humo-gen/birthday_family/1/F101119?main_person=I289249</t>
  </si>
  <si>
    <t>person_140</t>
  </si>
  <si>
    <t>Salis-Marschlins</t>
  </si>
  <si>
    <t>Hercules von</t>
  </si>
  <si>
    <t>1307114342</t>
  </si>
  <si>
    <t>Hauptmann des Veltins, Oberst in kurpfälzischen Diensten</t>
  </si>
  <si>
    <t>http://www.hfls.ch/humo-gen/birthday_family/1/F135441?main_person=I110567</t>
  </si>
  <si>
    <t>person_141</t>
  </si>
  <si>
    <t>Salis</t>
  </si>
  <si>
    <t>Barbara Dorothea von</t>
  </si>
  <si>
    <t>Ehefrau von Hercules von Salis</t>
  </si>
  <si>
    <t>http://www.hfls.ch/humo-gen/birthday_family/1/F135441?main_person=I371469</t>
  </si>
  <si>
    <t>person_142</t>
  </si>
  <si>
    <t>H. H. L.</t>
  </si>
  <si>
    <t>person_143</t>
  </si>
  <si>
    <t>Aberli</t>
  </si>
  <si>
    <t>Johannes Heinrich</t>
  </si>
  <si>
    <t>1089325258</t>
  </si>
  <si>
    <t>Pfarrer zu Regensdorf</t>
  </si>
  <si>
    <t>http://www.hfls.ch/humo-gen/family/1/F146993?main_person=I398908; Emanuel Dejung und Willy Wuhrmann (Hg.): Zürcher Pfarrbuch 1519-1952, Zürich: Schulthess &amp; Co., S. 173.</t>
  </si>
  <si>
    <t>person_144</t>
  </si>
  <si>
    <t>Mauer</t>
  </si>
  <si>
    <t>Barbara</t>
  </si>
  <si>
    <t>Ehefrau von Johannes Heinrich Aberli</t>
  </si>
  <si>
    <t>http://www.hfls.ch/humo-gen/family/1/F102166?main_person=I292424</t>
  </si>
  <si>
    <t>person_145</t>
  </si>
  <si>
    <t>Hans Konrad</t>
  </si>
  <si>
    <t>Stadtrichter, Hauptmann</t>
  </si>
  <si>
    <r>
      <rPr>
        <color rgb="FF434343"/>
        <u/>
      </rPr>
      <t>https://suche.staatsarchiv.djiktzh.ch/detail.aspx?ID=2066139</t>
    </r>
    <r>
      <rPr>
        <color rgb="FF1F1F1F"/>
      </rPr>
      <t xml:space="preserve"> </t>
    </r>
    <r>
      <rPr>
        <color rgb="FF1155CC"/>
        <u/>
      </rPr>
      <t>http://www.hfls.ch/humo-gen/family/1/F103257?main_person=I295639</t>
    </r>
  </si>
  <si>
    <t>person_146</t>
  </si>
  <si>
    <t>Ehefrau von Hans Konrad Holzhalb</t>
  </si>
  <si>
    <r>
      <rPr>
        <color rgb="FF1155CC"/>
        <u/>
      </rPr>
      <t>https://suche.staatsarchiv.djiktzh.ch/detail.aspx?ID=2066139</t>
    </r>
    <r>
      <rPr/>
      <t xml:space="preserve"> </t>
    </r>
    <r>
      <rPr>
        <color rgb="FF1155CC"/>
        <u/>
      </rPr>
      <t>http://www.hfls.ch/humo-gen/family/1/F103257?main_person=I295640</t>
    </r>
  </si>
  <si>
    <t>person_147</t>
  </si>
  <si>
    <t>Gottfrid</t>
  </si>
  <si>
    <t>Müller?</t>
  </si>
  <si>
    <t>Teil 3</t>
  </si>
  <si>
    <t>person_148</t>
  </si>
  <si>
    <t>person_149</t>
  </si>
  <si>
    <t>11565402X</t>
  </si>
  <si>
    <t>Professor für Katechetik, Hebräisch, Griechisch und Latein in Zürich; Pfarrer in Basadingen</t>
  </si>
  <si>
    <t>https://hls-dhs-dss.ch/de/articles/010844/2011-05-20/</t>
  </si>
  <si>
    <t>person_150</t>
  </si>
  <si>
    <t xml:space="preserve">Keller </t>
  </si>
  <si>
    <t>Elisabeth</t>
  </si>
  <si>
    <t>Ehefrau von Johann Caspar Schweizer</t>
  </si>
  <si>
    <t>http://www.hfls.ch/humo-gen/family/1/F110440?main_person=I318491</t>
  </si>
  <si>
    <t>person_151</t>
  </si>
  <si>
    <t>Ott</t>
  </si>
  <si>
    <t>100249485</t>
  </si>
  <si>
    <t>Refomierter Theologe, Historiker, Pfarrer in Zumikon und Dietlikon</t>
  </si>
  <si>
    <t>https://hls-dhs-dss.ch/de/articles/010778/2010-09-23/; Emanuel Dejung und Willy Wuhrmann (Hg.): Zürcher Pfarrbuch 1519-1952, Zürich: Schulthess &amp; Co., S. 462.</t>
  </si>
  <si>
    <t>person_152</t>
  </si>
  <si>
    <t>Wolf</t>
  </si>
  <si>
    <t>Salomon</t>
  </si>
  <si>
    <t>Zürcher Zunftpfleger</t>
  </si>
  <si>
    <r>
      <rPr>
        <color rgb="FF434343"/>
        <u/>
      </rPr>
      <t>http://www.hfls.ch/humo-gen/family/1/F110834?main_person=I319759</t>
    </r>
    <r>
      <rPr>
        <color rgb="FF1F1F1F"/>
      </rPr>
      <t xml:space="preserve"> </t>
    </r>
    <r>
      <rPr>
        <color rgb="FF1155CC"/>
        <u/>
      </rPr>
      <t>https://www.e-manuscripta.ch/zuzneb/content/titleinfo/1701745</t>
    </r>
  </si>
  <si>
    <t>person_153</t>
  </si>
  <si>
    <t>Lauffer</t>
  </si>
  <si>
    <t>Veronika</t>
  </si>
  <si>
    <t>Ehefrau von Salomon Wolf</t>
  </si>
  <si>
    <t>http://www.hfls.ch/humo-gen/family/1/F110834?main_person=I319760</t>
  </si>
  <si>
    <t>person_154</t>
  </si>
  <si>
    <t>Handelsmann</t>
  </si>
  <si>
    <r>
      <rPr>
        <color rgb="FF434343"/>
        <u/>
      </rPr>
      <t>http://www.hfls.ch/humo-gen/family/1/F100595?main_person=I287719</t>
    </r>
    <r>
      <rPr>
        <color rgb="FF1F1F1F"/>
      </rPr>
      <t xml:space="preserve"> </t>
    </r>
    <r>
      <rPr>
        <color rgb="FF1155CC"/>
        <u/>
      </rPr>
      <t>https://suche.staatsarchiv.djiktzh.ch/detail.aspx?ID=2065160</t>
    </r>
  </si>
  <si>
    <t>person_155</t>
  </si>
  <si>
    <t>Hartmann</t>
  </si>
  <si>
    <t>Ehefrau von Hans Heinrich Schulthess</t>
  </si>
  <si>
    <r>
      <rPr>
        <color rgb="FF434343"/>
        <u/>
      </rPr>
      <t>http://www.hfls.ch/humo-gen/family/1/F100595?main_person=I287719</t>
    </r>
    <r>
      <rPr>
        <color rgb="FF1F1F1F"/>
      </rPr>
      <t xml:space="preserve"> </t>
    </r>
    <r>
      <rPr>
        <color rgb="FF1155CC"/>
        <u/>
      </rPr>
      <t>https://suche.staatsarchiv.djiktzh.ch/detail.aspx?ID=2065160</t>
    </r>
  </si>
  <si>
    <t>person_156</t>
  </si>
  <si>
    <t>Herder</t>
  </si>
  <si>
    <t>1089544901</t>
  </si>
  <si>
    <t>Pfarrer und Konrektor in der Pfalz</t>
  </si>
  <si>
    <r>
      <rPr>
        <color rgb="FF1155CC"/>
        <u/>
      </rPr>
      <t>http://www.hfls.ch/humo-gen/family/1/F137889?main_person=I317050</t>
    </r>
    <r>
      <rPr/>
      <t xml:space="preserve"> </t>
    </r>
    <r>
      <rPr>
        <color rgb="FF1155CC"/>
        <u/>
      </rPr>
      <t>https://suche.staatsarchiv.djiktzh.ch/detail.aspx?ID=2065835</t>
    </r>
  </si>
  <si>
    <t>person_157</t>
  </si>
  <si>
    <t>Wüst</t>
  </si>
  <si>
    <t>Ehefrau von Hans Heinrich Herder</t>
  </si>
  <si>
    <r>
      <rPr>
        <color rgb="FF1155CC"/>
        <u/>
      </rPr>
      <t>http://www.hfls.ch/humo-gen/family/1/F137889?main_person=I375790</t>
    </r>
    <r>
      <rPr>
        <color rgb="FF1F1F1F"/>
        <u/>
      </rPr>
      <t xml:space="preserve"> </t>
    </r>
    <r>
      <rPr>
        <color rgb="FF1155CC"/>
        <u/>
      </rPr>
      <t>https://suche.staatsarchiv.djiktzh.ch/detail.aspx?ID=2065835</t>
    </r>
  </si>
  <si>
    <t>person_160</t>
  </si>
  <si>
    <t>Koller</t>
  </si>
  <si>
    <t>Zweite Ehefrau von Georg Müller</t>
  </si>
  <si>
    <r>
      <rPr>
        <color rgb="FF434343"/>
        <u/>
      </rPr>
      <t>https://suche.staatsarchiv.djiktzh.ch/detail.aspx?ID=1960657</t>
    </r>
    <r>
      <rPr>
        <color rgb="FF1F1F1F"/>
      </rPr>
      <t xml:space="preserve"> </t>
    </r>
    <r>
      <rPr>
        <color rgb="FF1155CC"/>
        <u/>
      </rPr>
      <t>http://www.hfls.ch/humo-gen/family/1/F145987?main_person=I324410</t>
    </r>
  </si>
  <si>
    <t>person_161</t>
  </si>
  <si>
    <t>Lobwasser</t>
  </si>
  <si>
    <t>Ambrosius</t>
  </si>
  <si>
    <t>124263488</t>
  </si>
  <si>
    <t>Übersetzer der Psalmen Davids ins Deutsche</t>
  </si>
  <si>
    <t>person_162</t>
  </si>
  <si>
    <t>Vollenweider</t>
  </si>
  <si>
    <t>122706722</t>
  </si>
  <si>
    <t>Respondent in in Zürich, Pfarrer in Berlingen, Wädenswil</t>
  </si>
  <si>
    <t>Emanuel Dejung und Willy Wuhrmann (Hg.): Zürcher Pfarrbuch 1519-1952, Zürich: Schulthess &amp; Co., S. 589f.</t>
  </si>
  <si>
    <t>person_163</t>
  </si>
  <si>
    <t>Johann Ludwig</t>
  </si>
  <si>
    <t>116477601</t>
  </si>
  <si>
    <t>Pfarrer in Teufen, Hedingen, Glarus</t>
  </si>
  <si>
    <t>Emanuel Dejung und Willy Wuhrmann (Hg.): Zürcher Pfarrbuch 1519-1952, Zürich: Schulthess &amp; Co., S. 179.</t>
  </si>
  <si>
    <t>person_164</t>
  </si>
  <si>
    <t>Burkhard</t>
  </si>
  <si>
    <t>123675987</t>
  </si>
  <si>
    <t>Theologe und Erbauungsschriftsteller, Pfarrer in der Predigerkirche, Kantor am Grossmünster</t>
  </si>
  <si>
    <t>Emanuel Dejung und Willy Wuhrmann (Hg.): Zürcher Pfarrbuch 1519-1952, Zürich: Schulthess &amp; Co., S. 233.</t>
  </si>
  <si>
    <t>person_165</t>
  </si>
  <si>
    <t>Ardüser</t>
  </si>
  <si>
    <t>121810356</t>
  </si>
  <si>
    <t>Mathematiker, Naturwissenschaftler, Ingenieur und Architekt</t>
  </si>
  <si>
    <t>https://hls-dhs-dss.ch/de/articles/018116</t>
  </si>
  <si>
    <t>person_166</t>
  </si>
  <si>
    <t>Hegner</t>
  </si>
  <si>
    <t xml:space="preserve">Diethelm </t>
  </si>
  <si>
    <t>129987409</t>
  </si>
  <si>
    <t>Übersetzer, Vogt zu Altenklingen</t>
  </si>
  <si>
    <t>person_167</t>
  </si>
  <si>
    <t>Trigland</t>
  </si>
  <si>
    <t>Jacobus</t>
  </si>
  <si>
    <t>122785703</t>
  </si>
  <si>
    <t>Niederländischer reformierter Theologe</t>
  </si>
  <si>
    <t>person_168</t>
  </si>
  <si>
    <t>Zwinger</t>
  </si>
  <si>
    <t>Theodor (?)</t>
  </si>
  <si>
    <t>11760318X (?)</t>
  </si>
  <si>
    <t>Basler Theologe</t>
  </si>
  <si>
    <t>https://hls-dhs-dss.ch/de/articles/010944</t>
  </si>
  <si>
    <t>person_169</t>
  </si>
  <si>
    <t>Genath</t>
  </si>
  <si>
    <t>Johann Jacob</t>
  </si>
  <si>
    <t>121416720</t>
  </si>
  <si>
    <t>Basler Drucker</t>
  </si>
  <si>
    <t>person_170</t>
  </si>
  <si>
    <t>Escher vom Luchs‏</t>
  </si>
  <si>
    <t>‎1646</t>
  </si>
  <si>
    <t>Als Kind im Rhein ertrunken</t>
  </si>
  <si>
    <t>http://www.hfls.ch/humo-gen/family/1/F104223?main_person=I298580#person_I298580</t>
  </si>
  <si>
    <t>person_171</t>
  </si>
  <si>
    <t>Heß</t>
  </si>
  <si>
    <t>Caspar</t>
  </si>
  <si>
    <t>13618281X</t>
  </si>
  <si>
    <t>Tuchexporteur, Gründer des Zürcher Postwesens</t>
  </si>
  <si>
    <t>https://hls-dhs-dss.ch/de/articles/023799</t>
  </si>
  <si>
    <t>person_172</t>
  </si>
  <si>
    <t>141750049</t>
  </si>
  <si>
    <t xml:space="preserve">Professor für Griechisch und Hebräisch, Chorherr </t>
  </si>
  <si>
    <t>https://www.hfls.ch/humo-gen/family/1/F110716?main_person=I319439</t>
  </si>
  <si>
    <t>person_173</t>
  </si>
  <si>
    <t>Spoerri</t>
  </si>
  <si>
    <t>1089345348</t>
  </si>
  <si>
    <t>Professor für Sprachen, Chorherr, Pfarrer in Eberbach (Kurpfalz)</t>
  </si>
  <si>
    <t>https://www.hfls.ch/humo-gen/family/1/F137701?main_person=I376729; Emanuel Dejung und Willy Wuhrmann (Hg.): Zürcher Pfarrbuch 1519-1952, Zürich: Schulthess &amp; Co., S. 537.</t>
  </si>
  <si>
    <t>Die Lebensdaten sind in GND und HFLS unterschiedlich</t>
  </si>
  <si>
    <t>person_174</t>
  </si>
  <si>
    <t>Peter</t>
  </si>
  <si>
    <t>Pfarrer in Uitikon, Kyburg und Fehraltorf</t>
  </si>
  <si>
    <r>
      <rPr>
        <color rgb="FF434343"/>
        <u/>
      </rPr>
      <t>http://www.hfls.ch/humo-gen/family/1/F102374?main_person=I293049</t>
    </r>
    <r>
      <rPr>
        <color rgb="FF1F1F1F"/>
        <u/>
      </rPr>
      <t>; Emanuel Dejung und Willy Wuhrmann (Hg.): Zürcher Pfarrbuch 1519-1952, Zürich: Schulthess &amp; Co., S. 533.</t>
    </r>
  </si>
  <si>
    <t>person_175</t>
  </si>
  <si>
    <t>Gwalther</t>
  </si>
  <si>
    <t>11854392X</t>
  </si>
  <si>
    <t>Zürcher Theologe, Dichter und Übersetzer, Pfarrer am St. Peter und am Grossmünster, Ehemann von Zwinglis Tochter Regula</t>
  </si>
  <si>
    <t>https://hls-dhs-dss.ch/de/articles/028298; Emanuel Dejung und Willy Wuhrmann (Hg.): Zürcher Pfarrbuch 1519-1952, Zürich: Schulthess &amp; Co., S. 311.</t>
  </si>
  <si>
    <t>person_176</t>
  </si>
  <si>
    <t>128536861</t>
  </si>
  <si>
    <t>Theologe, Professor für alte Sprachen, Übersetzer, Pfarrer in Uitikon und Zollikon</t>
  </si>
  <si>
    <t>Emanuel Dejung und Willy Wuhrmann (Hg.): Zürcher Pfarrbuch 1519-1952, Zürich: Schulthess &amp; Co., S. 643.</t>
  </si>
  <si>
    <t>person_179</t>
  </si>
  <si>
    <t>Gw.</t>
  </si>
  <si>
    <t>H. H. J.</t>
  </si>
  <si>
    <t>A. Z. Fr. M.</t>
  </si>
  <si>
    <r>
      <rPr/>
      <t xml:space="preserve">Im HFLS existiert ein </t>
    </r>
    <r>
      <rPr>
        <color rgb="FF1155CC"/>
        <u/>
      </rPr>
      <t>Gwalter</t>
    </r>
    <r>
      <rPr/>
      <t xml:space="preserve">, der Fraumünsteramtmann war. Ausserdem ein </t>
    </r>
    <r>
      <rPr>
        <color rgb="FF1155CC"/>
        <u/>
      </rPr>
      <t>Rudolf Gwalter</t>
    </r>
    <r>
      <rPr/>
      <t>, der Chirurg war, was immerhin zum Gedicht passen würde</t>
    </r>
  </si>
  <si>
    <t>person_180</t>
  </si>
  <si>
    <t>Hofmeister</t>
  </si>
  <si>
    <t>‎1622</t>
  </si>
  <si>
    <t>‎1656‎</t>
  </si>
  <si>
    <t>Hauptmann</t>
  </si>
  <si>
    <t>http://www.hfls.ch/humo-gen/family/1/F103232?main_person=I295072#person_I295072</t>
  </si>
  <si>
    <t>person_181</t>
  </si>
  <si>
    <t>Kyrene</t>
  </si>
  <si>
    <t>Simon von</t>
  </si>
  <si>
    <t>118765469</t>
  </si>
  <si>
    <t>https://de.wikipedia.org/wiki/Simon_von_Cyrene</t>
  </si>
  <si>
    <t>person_182</t>
  </si>
  <si>
    <t>Thomas</t>
  </si>
  <si>
    <t>118622099</t>
  </si>
  <si>
    <t>person_183</t>
  </si>
  <si>
    <t>Phaeton</t>
  </si>
  <si>
    <t>119243113</t>
  </si>
  <si>
    <t>Mythologische Figur, Sohn des Sonnengottes Helios</t>
  </si>
  <si>
    <t>person_184</t>
  </si>
  <si>
    <t>Lukas</t>
  </si>
  <si>
    <t>118575198</t>
  </si>
  <si>
    <t>person_185</t>
  </si>
  <si>
    <t>Athena</t>
  </si>
  <si>
    <t>118504851</t>
  </si>
  <si>
    <t>Griechische Göttin der Weisheit und des Kampfes, Schutzgöttin Athens</t>
  </si>
  <si>
    <t>person_186</t>
  </si>
  <si>
    <t>Bacchus</t>
  </si>
  <si>
    <t>118651439</t>
  </si>
  <si>
    <t>Römischer Gott des Weines, des Rausches und der Ekstase</t>
  </si>
  <si>
    <t>person_187</t>
  </si>
  <si>
    <t>Darius I.</t>
  </si>
  <si>
    <t>118523791</t>
  </si>
  <si>
    <t>Persischer König</t>
  </si>
  <si>
    <t>person_188</t>
  </si>
  <si>
    <t>Kyros II.</t>
  </si>
  <si>
    <t>118568426</t>
  </si>
  <si>
    <t>person_189</t>
  </si>
  <si>
    <t>Augustinus</t>
  </si>
  <si>
    <t>Aurelius</t>
  </si>
  <si>
    <t>118505114</t>
  </si>
  <si>
    <t>Heiliger, Kirchenvater</t>
  </si>
  <si>
    <t>https://de.wikipedia.org/wiki/Augustinus_von_Hippo</t>
  </si>
  <si>
    <t>person_190</t>
  </si>
  <si>
    <t>Lazarus</t>
  </si>
  <si>
    <t>118570420</t>
  </si>
  <si>
    <t>Durch Jesus von den Toten auferstanden</t>
  </si>
  <si>
    <t>person_191</t>
  </si>
  <si>
    <t>Lot</t>
  </si>
  <si>
    <t>119435128</t>
  </si>
  <si>
    <t>Einwohner in Sodom</t>
  </si>
  <si>
    <t>person_192</t>
  </si>
  <si>
    <t>Gyger</t>
  </si>
  <si>
    <t>Johann Rudolf</t>
  </si>
  <si>
    <t>140325301</t>
  </si>
  <si>
    <t>Arzt</t>
  </si>
  <si>
    <t>person_193</t>
  </si>
  <si>
    <t>16XX</t>
  </si>
  <si>
    <t>1037530217</t>
  </si>
  <si>
    <t>Verleger, Drucker, Buchhändler, Sohn von Johann Wilhelm Simler</t>
  </si>
  <si>
    <t>person_194</t>
  </si>
  <si>
    <t>Bachofen</t>
  </si>
  <si>
    <t>Johann Ulrich</t>
  </si>
  <si>
    <t>121891291</t>
  </si>
  <si>
    <t>Zürcher Dichter und Theologe, Pfarrer auf Burg bei Stein a. Rh., in Bischofszell und Rickenbach</t>
  </si>
  <si>
    <t>https://hls-dhs-dss.ch/de/articles/035196; Emanuel Dejung und Willy Wuhrmann (Hg.): Zürcher Pfarrbuch 1519-1952, Zürich: Schulthess &amp; Co., S. 183.</t>
  </si>
  <si>
    <t>person_195</t>
  </si>
  <si>
    <t>Grebel</t>
  </si>
  <si>
    <t>143656813</t>
  </si>
  <si>
    <t>Landvogt der Herrschaft Wädenswil und der Freien Ämter</t>
  </si>
  <si>
    <t>https://hls-dhs-dss.ch/de/articles/018072/2005-12-05/</t>
  </si>
  <si>
    <t>person_196</t>
  </si>
  <si>
    <t>Gossweiler</t>
  </si>
  <si>
    <t>Emerentia</t>
  </si>
  <si>
    <t>‎1686</t>
  </si>
  <si>
    <t>2. Ehefrau von Hans Konrad Grebel</t>
  </si>
  <si>
    <t>https://www.hfls.ch/humo-gen/family/1/F106404?main_person=I301391</t>
  </si>
  <si>
    <t>person_197</t>
  </si>
  <si>
    <t>Lochmann</t>
  </si>
  <si>
    <t>1078433488</t>
  </si>
  <si>
    <t>Militär in französ. Diensten</t>
  </si>
  <si>
    <t>https://hls-dhs-dss.ch/de/articles/023976/2009-10-13/</t>
  </si>
  <si>
    <t>person_198</t>
  </si>
  <si>
    <t>Ulrich</t>
  </si>
  <si>
    <t>117289701</t>
  </si>
  <si>
    <t>Pfarrer am Grossmünster Zürich, Antistes, Professor der Katechetik und Geschichte</t>
  </si>
  <si>
    <r>
      <rPr>
        <color rgb="FF434343"/>
        <u/>
      </rPr>
      <t>https://hls-dhs-dss.ch/de/articles/010885/2013-01-25/</t>
    </r>
    <r>
      <rPr>
        <color rgb="FF1F1F1F"/>
      </rPr>
      <t>; Emanuel Dejung und Willy Wuhrmann (Hg.): Zürcher Pfarrbuch 1519-1952, Zürich: Schulthess &amp; Co., S. 577f.</t>
    </r>
  </si>
  <si>
    <t>person_199</t>
  </si>
  <si>
    <t>Orelli</t>
  </si>
  <si>
    <t>Anna</t>
  </si>
  <si>
    <t>4. Ehefrau von Johann Jakob Ulrich</t>
  </si>
  <si>
    <t>https://www.hfls.ch/humo-gen/family/1/F107894?main_person=I309814</t>
  </si>
  <si>
    <t>person_200</t>
  </si>
  <si>
    <t>Eberhard</t>
  </si>
  <si>
    <t>Hans Kaspar</t>
  </si>
  <si>
    <t>Ehemann von Katharina Hirt</t>
  </si>
  <si>
    <t>http://www.hfls.ch/humo-gen/family/1/F112154?main_person=I324377</t>
  </si>
  <si>
    <t>person_201</t>
  </si>
  <si>
    <t>Hirt‏</t>
  </si>
  <si>
    <t>Katharina</t>
  </si>
  <si>
    <t>Ehefrau von Hans Kaspar Eberhard</t>
  </si>
  <si>
    <t>https://www.hfls.ch/humo-gen/family/1/F112154?main_person=I324378</t>
  </si>
  <si>
    <t>person_202</t>
  </si>
  <si>
    <t>Grob</t>
  </si>
  <si>
    <t>1089335318</t>
  </si>
  <si>
    <t>Pfarrer zu Richterswil, Stäfa, Fehraltorf</t>
  </si>
  <si>
    <r>
      <rPr>
        <color rgb="FF434343"/>
        <u/>
      </rPr>
      <t>https://suche.staatsarchiv.djiktzh.ch/detail.aspx?ID=1968284</t>
    </r>
    <r>
      <rPr>
        <color rgb="FF1F1F1F"/>
      </rPr>
      <t>; Emanuel Dejung und Willy Wuhrmann (Hg.): Zürcher Pfarrbuch 1519-1952, Zürich: Schulthess &amp; Co., S. 306.</t>
    </r>
  </si>
  <si>
    <t>person_203</t>
  </si>
  <si>
    <t>Regula</t>
  </si>
  <si>
    <t>1735‎</t>
  </si>
  <si>
    <t>Ehefrau von Hans Jakob Grob</t>
  </si>
  <si>
    <t>https://www.hfls.ch/humo-gen/family/1/F101932?main_person=I291674</t>
  </si>
  <si>
    <t>person_204</t>
  </si>
  <si>
    <t>Klingler</t>
  </si>
  <si>
    <t>Kaspar</t>
  </si>
  <si>
    <t>Ehemann von Dorothea Spöndli</t>
  </si>
  <si>
    <t>http://www.hfls.ch/humo-gen/family/1/F109445?main_person=I315155</t>
  </si>
  <si>
    <t>person_205</t>
  </si>
  <si>
    <t>Spöndli</t>
  </si>
  <si>
    <t>Ehefrau von Kaspar Klingler</t>
  </si>
  <si>
    <t>https://www.hfls.ch/humo-gen/family/1/F109445?main_person=I315038</t>
  </si>
  <si>
    <t>person_206</t>
  </si>
  <si>
    <t>Hirzel</t>
  </si>
  <si>
    <t>Hans Caspar</t>
  </si>
  <si>
    <t>136182054</t>
  </si>
  <si>
    <t>Zürcher Bürgermeister 1669-1690</t>
  </si>
  <si>
    <t>https://hls-dhs-dss.ch/de/articles/018077/2021-08-02/</t>
  </si>
  <si>
    <t>person_207</t>
  </si>
  <si>
    <t>136182208</t>
  </si>
  <si>
    <t>Zürcher Bürgermeister 1637-, Tuchhändler und Diplomat</t>
  </si>
  <si>
    <t>https://hls-dhs-dss.ch/de/articles/018059/2021-08-02/</t>
  </si>
  <si>
    <t>person_208</t>
  </si>
  <si>
    <t>Salis-Soglio</t>
  </si>
  <si>
    <t xml:space="preserve">Maria Ursina von </t>
  </si>
  <si>
    <t>‎1600</t>
  </si>
  <si>
    <t>1663‎</t>
  </si>
  <si>
    <t>2. Ehefrau von Andreas von Brügger</t>
  </si>
  <si>
    <t>https://www.hfls.ch/humo-gen/family/1/F176259?main_person=I478231</t>
  </si>
  <si>
    <t>person_209</t>
  </si>
  <si>
    <t>Brügger</t>
  </si>
  <si>
    <t>1072493926</t>
  </si>
  <si>
    <t>Oberst, Pächter der Landvogtei Maienfeld</t>
  </si>
  <si>
    <t>https://hls-dhs-dss.ch/de/articles/016768/2004-08-26/</t>
  </si>
  <si>
    <t>person_210</t>
  </si>
  <si>
    <t>Anhorn von Hartwiss</t>
  </si>
  <si>
    <t>Bartholomaeus</t>
  </si>
  <si>
    <t>121076717</t>
  </si>
  <si>
    <t>Pfarrer im Appenzellerland, St. Gallen, Mosbach (Deutschland), Bischofszell, Dekan</t>
  </si>
  <si>
    <r>
      <rPr>
        <color rgb="FF434343"/>
        <u/>
      </rPr>
      <t>https://hls-dhs-dss.ch/de/articles/010505</t>
    </r>
    <r>
      <rPr>
        <color rgb="FF1F1F1F"/>
      </rPr>
      <t>; Emanuel Dejung und Willy Wuhrmann (Hg.): Zürcher Pfarrbuch 1519-1952, Zürich: Schulthess &amp; Co., S. 181.</t>
    </r>
  </si>
  <si>
    <t>person_211</t>
  </si>
  <si>
    <t>Wild</t>
  </si>
  <si>
    <t>1089323042</t>
  </si>
  <si>
    <t>Glarner Pfarrer und Dekan</t>
  </si>
  <si>
    <t>https://hls-dhs-dss.ch/de/articles/010916</t>
  </si>
  <si>
    <t>person_212</t>
  </si>
  <si>
    <t>10014568X</t>
  </si>
  <si>
    <t>Dichter, Soldat</t>
  </si>
  <si>
    <t>https://hls-dhs-dss.ch/de/articles/011842</t>
  </si>
  <si>
    <t>In Druck D ist als Vorname Jakob angegeben</t>
  </si>
  <si>
    <t>person_213</t>
  </si>
  <si>
    <t>Christoph</t>
  </si>
  <si>
    <t>Stadtarzt in Bern, Tuchfabrikant</t>
  </si>
  <si>
    <r>
      <rPr>
        <color rgb="FF1155CC"/>
        <u/>
      </rPr>
      <t>https://hls-dhs-dss.ch/articles/023857/2025-08-12/</t>
    </r>
    <r>
      <rPr/>
      <t xml:space="preserve"> und </t>
    </r>
    <r>
      <rPr>
        <color rgb="FF1155CC"/>
        <u/>
      </rPr>
      <t>https://www.hfls.ch/humo-gen/family/1/F107269?main_person=I308255</t>
    </r>
  </si>
  <si>
    <t>Nicht sicher, da sein "Bernerischer Apothecker-Tax" nicht zu finden ist</t>
  </si>
  <si>
    <t>person_214</t>
  </si>
  <si>
    <t>108959500X</t>
  </si>
  <si>
    <t>Goldschmied, Büchsenmacher</t>
  </si>
  <si>
    <t>person_215</t>
  </si>
  <si>
    <t>Oeri</t>
  </si>
  <si>
    <t>Werkmeister</t>
  </si>
  <si>
    <t>Bisher unklar</t>
  </si>
  <si>
    <t>person_216</t>
  </si>
  <si>
    <t>Keller vom Steinbock‏</t>
  </si>
  <si>
    <t>Anna Kleophea</t>
  </si>
  <si>
    <t>‎1609</t>
  </si>
  <si>
    <t>3. Ehefrau von Johann Heinrich Waser</t>
  </si>
  <si>
    <t>https://www.hfls.ch/humo-gen/family/1/F104421?main_person=I299176</t>
  </si>
  <si>
    <t>person_217</t>
  </si>
  <si>
    <t>von Sulz</t>
  </si>
  <si>
    <t>Johann Ludwig II.</t>
  </si>
  <si>
    <t>1019685441</t>
  </si>
  <si>
    <t>Landgraf im Klettgau</t>
  </si>
  <si>
    <t>https://de.wikipedia.org/wiki/Johann_Ludwig_II._von_Sulz</t>
  </si>
  <si>
    <t>person_218</t>
  </si>
  <si>
    <t>Egli</t>
  </si>
  <si>
    <t>Samuel</t>
  </si>
  <si>
    <t>1627/29</t>
  </si>
  <si>
    <t>Landvogt von Greifensee, Schützenmeister</t>
  </si>
  <si>
    <r>
      <rPr>
        <color rgb="FF434343"/>
        <u/>
      </rPr>
      <t>https://personae.ssrq-sds-fds.ch/?query=per015033&amp;query-type=perid</t>
    </r>
    <r>
      <rPr>
        <color rgb="FF000000"/>
      </rPr>
      <t xml:space="preserve"> und </t>
    </r>
    <r>
      <rPr>
        <color rgb="FF1155CC"/>
        <u/>
      </rPr>
      <t>amsquery.stadt-zuerich.ch/Dateien/35/D176033.pdf</t>
    </r>
  </si>
  <si>
    <t>person_219</t>
  </si>
  <si>
    <t>von Breitenlandenberg</t>
  </si>
  <si>
    <t>Wildhans</t>
  </si>
  <si>
    <t>Verteidiger von Greifensee und Opfer der «Blutnacht von Greifensee»</t>
  </si>
  <si>
    <t>https://hls-dhs-dss.ch/de/articles/046021/2008-11-11/</t>
  </si>
  <si>
    <t>person_221</t>
  </si>
  <si>
    <t>Schmid</t>
  </si>
  <si>
    <t>108194221</t>
  </si>
  <si>
    <t>Diplomat der Habsburger Monarchie im Osmanischen Reich</t>
  </si>
  <si>
    <t>https://de.wikipedia.org/wiki/Johann_Rudolf_Schmid_von_Schwarzenhorn</t>
  </si>
  <si>
    <t>person_222</t>
  </si>
  <si>
    <t>‎1539</t>
  </si>
  <si>
    <t>Vater von Johann Rudolf Schmid von Schwarzenhorn</t>
  </si>
  <si>
    <t>https://www.hfls.ch/humo-gen/family/1/F144462?main_person=I332629</t>
  </si>
  <si>
    <t>person_223</t>
  </si>
  <si>
    <t>Kaufmann, Ratsherr</t>
  </si>
  <si>
    <t>https://www.hfls.ch/humo-gen/family/1/F100903?main_person=I288642</t>
  </si>
  <si>
    <t>person_224</t>
  </si>
  <si>
    <t>Pfarrer am Fraumünster</t>
  </si>
  <si>
    <t>Emanuel Dejung und Willy Wuhrmann (Hg.): Zürcher Pfarrbuch 1519-1952, Zürich: Schulthess &amp; Co., S. 576.</t>
  </si>
  <si>
    <t>person_225</t>
  </si>
  <si>
    <t>Johann Leonhard</t>
  </si>
  <si>
    <t>1089375298</t>
  </si>
  <si>
    <t>Schultheiss von Frauenfeld</t>
  </si>
  <si>
    <t>https://www.hfls.ch/humo-gen/family/1/F9243?main_person=I23036</t>
  </si>
  <si>
    <t>person_226</t>
  </si>
  <si>
    <t>107454031X</t>
  </si>
  <si>
    <t>Schultheiss von Frauenfeld, Vater von Johann Leonhard Müller</t>
  </si>
  <si>
    <t>https://hls-dhs-dss.ch/de/articles/048345/2009-02-02/</t>
  </si>
  <si>
    <t>person_227</t>
  </si>
  <si>
    <t>Locher</t>
  </si>
  <si>
    <t>Hans Melchior</t>
  </si>
  <si>
    <t>Schultheiss von Frauenfeld von 1652 bis 1673</t>
  </si>
  <si>
    <r>
      <rPr>
        <color rgb="FF1155CC"/>
        <u/>
      </rPr>
      <t xml:space="preserve">Historisch-Biographisches Lexikon der Schweiz. Liebegg-Mailand </t>
    </r>
    <r>
      <rPr/>
      <t>S. 698</t>
    </r>
  </si>
  <si>
    <t>Keine Lebensdaten, da im HFLS nicht gefunden</t>
  </si>
  <si>
    <t>person_228</t>
  </si>
  <si>
    <t>129536229</t>
  </si>
  <si>
    <t>Einer der drei Könige</t>
  </si>
  <si>
    <t>person_230</t>
  </si>
  <si>
    <t>Kaiser</t>
  </si>
  <si>
    <t>person_231</t>
  </si>
  <si>
    <t>O.</t>
  </si>
  <si>
    <t>Jacob U.</t>
  </si>
  <si>
    <t>Pfarrer</t>
  </si>
  <si>
    <r>
      <rPr/>
      <t xml:space="preserve">evtl. </t>
    </r>
    <r>
      <rPr>
        <color rgb="FF1155CC"/>
        <u/>
      </rPr>
      <t>https://www.hfls.ch/humo-gen/family/1/F108131?main_person=I310525</t>
    </r>
    <r>
      <rPr/>
      <t xml:space="preserve"> oder </t>
    </r>
    <r>
      <rPr>
        <color rgb="FF1155CC"/>
        <u/>
      </rPr>
      <t>https://www.hfls.ch/humo-gen/family/1/F8636?main_person=I26918</t>
    </r>
  </si>
  <si>
    <t>Bisher unklar. In Frage kämen im Pfarrerbuch: Johann Jakob von Orelli, S. 459 oder Hans Jakob Ochsner, S. 455. Keiner der beiden hat einen Zweitnamen mit U., auch nicht im HFLS</t>
  </si>
  <si>
    <t>person_232</t>
  </si>
  <si>
    <t>Schneeberger</t>
  </si>
  <si>
    <t>Hans Georg</t>
  </si>
  <si>
    <t>1089547269</t>
  </si>
  <si>
    <t>Rittmeister, Ratsherr</t>
  </si>
  <si>
    <t>https://www.hfls.ch/humo-gen/family/1/F105950</t>
  </si>
  <si>
    <t>person_233</t>
  </si>
  <si>
    <t>Zwingli</t>
  </si>
  <si>
    <t>118637533</t>
  </si>
  <si>
    <t xml:space="preserve">Reformator, Theologe, Antistes, Leutpriester und Chorherr am Grossmünster, </t>
  </si>
  <si>
    <r>
      <rPr>
        <color rgb="FF1155CC"/>
        <u/>
      </rPr>
      <t>https://hls-dhs-dss.ch/de/articles/010447/2014-03-04/</t>
    </r>
    <r>
      <rPr/>
      <t>; Emanuel Dejung und Willy Wuhrmann (Hg.): Zürcher Pfarrbuch 1519-1952, Zürich: Schulthess &amp; Co., S. 661.</t>
    </r>
  </si>
  <si>
    <t>person_234</t>
  </si>
  <si>
    <t>Bullinger</t>
  </si>
  <si>
    <t>118517384</t>
  </si>
  <si>
    <t>Reformator, Theologe, Schriftsteller, Antistes, Zwinglis Nachfolger am Grossmünster</t>
  </si>
  <si>
    <r>
      <rPr>
        <color rgb="FF1155CC"/>
        <u/>
      </rPr>
      <t>https://hls-dhs-dss.ch/de/articles/010443/2011-04-07/</t>
    </r>
    <r>
      <rPr/>
      <t>;Emanuel Dejung und Willy Wuhrmann (Hg.): Zürcher Pfarrbuch 1519-1952, Zürich: Schulthess &amp; Co., S. 228f.</t>
    </r>
  </si>
  <si>
    <t>person_236</t>
  </si>
  <si>
    <t>Breitinger</t>
  </si>
  <si>
    <t>118659952</t>
  </si>
  <si>
    <t>Pfarrer in Zumikon, Albisrieden, Antitstes, Diakon am St. Peter, Theologe, Geschichtsforscher, einflussreicher Redner</t>
  </si>
  <si>
    <r>
      <rPr>
        <color rgb="FF434343"/>
        <u/>
      </rPr>
      <t>https://de.wikipedia.org/wiki/Johann_Jakob_Breitinger_(Antistes)</t>
    </r>
    <r>
      <rPr>
        <color rgb="FF1F1F1F"/>
      </rPr>
      <t>; Emanuel Dejung und Willy Wuhrmann (Hg.): Zürcher Pfarrbuch 1519-1952, Zürich: Schulthess &amp; Co., S. 214f.</t>
    </r>
  </si>
  <si>
    <t>person_237</t>
  </si>
  <si>
    <t>Irminger</t>
  </si>
  <si>
    <t>1019743824</t>
  </si>
  <si>
    <t>Pfarrer in Zumikon, Diakon und Pfarrer am St. Peter, Antistes</t>
  </si>
  <si>
    <r>
      <rPr>
        <color rgb="FF434343"/>
        <u/>
      </rPr>
      <t>https://de.wikipedia.org/wiki/Johann_Jakob_Irminger</t>
    </r>
    <r>
      <rPr>
        <color rgb="FF1F1F1F"/>
      </rPr>
      <t>; Emanuel Dejung und Willy Wuhrmann (Hg.): Zürcher Pfarrbuch 1519-1952, Zürich: Schulthess &amp; Co., S. 363.</t>
    </r>
  </si>
  <si>
    <t>Abweichendes Geburtsjahr auf Wikipedia. Im Pfarrbuch 1588-1649</t>
  </si>
  <si>
    <t>person_238</t>
  </si>
  <si>
    <t>Frisius</t>
  </si>
  <si>
    <t>104261935</t>
  </si>
  <si>
    <t>Arzt, Stiftverwalter</t>
  </si>
  <si>
    <t>https://www.hfls.ch/humo-gen/family/1/F104436?main_person=I299208</t>
  </si>
  <si>
    <t>Abweichendes Geburtsjahr zwischen GND und HFLS</t>
  </si>
  <si>
    <t>person_239</t>
  </si>
  <si>
    <t xml:space="preserve">Stadtarzt, Professor der Physik </t>
  </si>
  <si>
    <t>Im HFLS bislang nicht gefunden</t>
  </si>
  <si>
    <t>person_240</t>
  </si>
  <si>
    <t>Maurer</t>
  </si>
  <si>
    <t>1089420609</t>
  </si>
  <si>
    <t>Archidiakon am Grossmünster</t>
  </si>
  <si>
    <t>Emanuel Dejung und Willy Wuhrmann (Hg.): Zürcher Pfarrbuch 1519-1952, Zürich: Schulthess &amp; Co., S. 422.</t>
  </si>
  <si>
    <t>person_241</t>
  </si>
  <si>
    <t>Suter</t>
  </si>
  <si>
    <t>101972451X</t>
  </si>
  <si>
    <t>Emanuel Dejung und Willy Wuhrmann (Hg.): Zürcher Pfarrbuch 1519-1952, Zürich: Schulthess &amp; Co., S. 561.</t>
  </si>
  <si>
    <t>person_242</t>
  </si>
  <si>
    <t>1090214340</t>
  </si>
  <si>
    <t>Pfarrer zur Predigerkirche, Präzeptor am Carolinum</t>
  </si>
  <si>
    <t>Emanuel Dejung und Willy Wuhrmann (Hg.): Zürcher Pfarrbuch 1519-1952, Zürich: Schulthess &amp; Co., S. 350.</t>
  </si>
  <si>
    <t>person_243</t>
  </si>
  <si>
    <t>121735060</t>
  </si>
  <si>
    <t>Pfarrer zur Predigerkirche, Feldprediger am Arther Zug und Rapperswiler Zug</t>
  </si>
  <si>
    <t>https://www.hfls.ch/humo-gen/family/1/F112702?main_person=I326249; Emanuel Dejung und Willy Wuhrmann (Hg.): Zürcher Pfarrbuch 1519-1952, Zürich: Schulthess &amp; Co., S. 626.</t>
  </si>
  <si>
    <t>person_244</t>
  </si>
  <si>
    <t>117146080</t>
  </si>
  <si>
    <t>Orientalist, Professor für Theologie, Hebräisch und Griechisch, Pfarrer in Witikon, Diakon am Grossmünster</t>
  </si>
  <si>
    <t>https://de.wikipedia.org/wiki/Kaspar_Waser; Emanuel Dejung und Willy Wuhrmann (Hg.): Zürcher Pfarrbuch 1519-1952, Zürich: Schulthess &amp; Co., S. 599.</t>
  </si>
  <si>
    <t>person_245</t>
  </si>
  <si>
    <t>Hospinianus</t>
  </si>
  <si>
    <t>Rudolphus</t>
  </si>
  <si>
    <t>121891453</t>
  </si>
  <si>
    <t>Professor für Dogmatik, Pfarrer am Fraumünster</t>
  </si>
  <si>
    <t>https://de.wikipedia.org/wiki/Rudolf_Hospinian;  Emanuel Dejung und Willy Wuhrmann (Hg.): Zürcher Pfarrbuch 1519-1952, Zürich: Schulthess &amp; Co., S. 621.</t>
  </si>
  <si>
    <t>person_246</t>
  </si>
  <si>
    <t>Erni</t>
  </si>
  <si>
    <t>119664704</t>
  </si>
  <si>
    <t>Pfarrer in Hirzel, Albisrieden, Professor der Sprachen, der Logik und der Theologie, Chorherr</t>
  </si>
  <si>
    <t>https://hls-dhs-dss.ch/de/articles/025892;  Emanuel Dejung und Willy Wuhrmann (Hg.): Zürcher Pfarrbuch 1519-1952, Zürich: Schulthess &amp; Co., S. 257.</t>
  </si>
  <si>
    <t>person_247</t>
  </si>
  <si>
    <t>Thomann</t>
  </si>
  <si>
    <t xml:space="preserve">Hans Peter </t>
  </si>
  <si>
    <t>1047765063</t>
  </si>
  <si>
    <t>Professor für Theologie, Pfarrer</t>
  </si>
  <si>
    <t>https://www.hfls.ch/humo-gen/family/1/F156270?main_person=I308929</t>
  </si>
  <si>
    <t>person_248</t>
  </si>
  <si>
    <t>Stucki</t>
  </si>
  <si>
    <t>117353558</t>
  </si>
  <si>
    <t>Pfarrer in Dietikon, Diakon am Fraumünster, Professor des Hebräischen und der Logik, Chorherr, Professor der Theologie</t>
  </si>
  <si>
    <t>https://www.hfls.ch/humo-gen/family/1/F106021?main_person=I304214;  Emanuel Dejung und Willy Wuhrmann (Hg.): Zürcher Pfarrbuch 1519-1952, Zürich: Schulthess &amp; Co., S. 552.</t>
  </si>
  <si>
    <t>person_249</t>
  </si>
  <si>
    <t>Zeller</t>
  </si>
  <si>
    <t>1089585772</t>
  </si>
  <si>
    <t>Ludimoderator am Carolinum, Chorherr</t>
  </si>
  <si>
    <t xml:space="preserve"> Emanuel Dejung und Willy Wuhrmann (Hg.): Zürcher Pfarrbuch 1519-1952, Zürich: Schulthess &amp; Co., S. 647.</t>
  </si>
  <si>
    <t>person_250</t>
  </si>
  <si>
    <t>Jacob</t>
  </si>
  <si>
    <t>Knecht im Sparrenberg</t>
  </si>
  <si>
    <t>person_251</t>
  </si>
  <si>
    <t>Ehefrau von Johann Heinrich Hottinger</t>
  </si>
  <si>
    <t>https://www.hfls.ch/humo-gen/family/1/F105643?main_person=I303467</t>
  </si>
  <si>
    <t>person_252</t>
  </si>
  <si>
    <t>Kusen</t>
  </si>
  <si>
    <t>Jost von</t>
  </si>
  <si>
    <t>124071031</t>
  </si>
  <si>
    <t>Pfarrer in Zumikon, Birmensdorf, Professor der Logik, Rhetorik und Philosophie, Chor- und Schulherr</t>
  </si>
  <si>
    <t xml:space="preserve"> Emanuel Dejung und Willy Wuhrmann (Hg.): Zürcher Pfarrbuch 1519-1952, Zürich: Schulthess &amp; Co., S. 398.</t>
  </si>
  <si>
    <t>Kein Eintrag im HFLS</t>
  </si>
  <si>
    <t>person_253</t>
  </si>
  <si>
    <t>115549382</t>
  </si>
  <si>
    <t>Professor für griechische Sprache, Förderer der Bürgerbibliothek Zürich, Pfarrer in Dietlikon und Schwamedingen</t>
  </si>
  <si>
    <r>
      <rPr>
        <color rgb="FF1155CC"/>
        <u/>
      </rPr>
      <t>https://doi.org/10.3931/e-rara-24507</t>
    </r>
    <r>
      <rPr>
        <color rgb="FF000000"/>
        <u/>
      </rPr>
      <t xml:space="preserve"> (S. 40-43) und </t>
    </r>
    <r>
      <rPr>
        <color rgb="FF1155CC"/>
        <u/>
      </rPr>
      <t>https://www.hfls.ch/humo-gen/family/1/F104428?main_person=I299189</t>
    </r>
    <r>
      <rPr>
        <color rgb="FF434343"/>
        <u/>
      </rPr>
      <t>; Emanuel Dejung und Willy Wuhrmann (Hg.): Zürcher Pfarrbuch 1519-1952, Zürich: Schulthess &amp; Co., S. 576.</t>
    </r>
  </si>
  <si>
    <t>person_254</t>
  </si>
  <si>
    <t>Gessner</t>
  </si>
  <si>
    <t>1089511000</t>
  </si>
  <si>
    <t>Pfarrer zu Bassersdorf, Katechet in Leimbach</t>
  </si>
  <si>
    <t>https://www.hfls.ch/humo-gen/family/1/F147968?main_person=I401756; Emanuel Dejung und Willy Wuhrmann (Hg.): Zürcher Pfarrbuch 1519-1952, Zürich: Schulthess &amp; Co., S. 297.</t>
  </si>
  <si>
    <t>Abweichendes Geburtsjahr im HFLS</t>
  </si>
  <si>
    <t>person_255</t>
  </si>
  <si>
    <t>Wöllwein</t>
  </si>
  <si>
    <t>Johann Anthon</t>
  </si>
  <si>
    <t>123627850</t>
  </si>
  <si>
    <t>Bürger und Handelsmann in Augsburg</t>
  </si>
  <si>
    <t>person_256</t>
  </si>
  <si>
    <t>1. Ehefrau von Hans Konrad Grebel</t>
  </si>
  <si>
    <t>https://www.hfls.ch/humo-gen/family/1/F87624?main_person=I255356</t>
  </si>
  <si>
    <t>person_257</t>
  </si>
  <si>
    <t>Hans Rudolf</t>
  </si>
  <si>
    <t>‎1689</t>
  </si>
  <si>
    <t>Neffe von Johann Wilhelm Simler</t>
  </si>
  <si>
    <t>https://www.hfls.ch/humo-gen/family/1/F102360?main_person=I292993</t>
  </si>
  <si>
    <t>person_258</t>
  </si>
  <si>
    <t>Ruyter</t>
  </si>
  <si>
    <t>Michiel Adriaansz de</t>
  </si>
  <si>
    <t>118750518</t>
  </si>
  <si>
    <t>Admiral</t>
  </si>
  <si>
    <t>person_260</t>
  </si>
  <si>
    <t>Vulcanus</t>
  </si>
  <si>
    <t>118770462</t>
  </si>
  <si>
    <t>Römischer Gott des Feuers und der Schmiedekunst</t>
  </si>
  <si>
    <t>person_261</t>
  </si>
  <si>
    <t>Esau</t>
  </si>
  <si>
    <t>118531018</t>
  </si>
  <si>
    <t>Sohn Isaaks und Bruder Jakobs</t>
  </si>
  <si>
    <t>person_262</t>
  </si>
  <si>
    <t>Danaos</t>
  </si>
  <si>
    <t>1047814412</t>
  </si>
  <si>
    <t>König von Argos, Vater der Danaiden</t>
  </si>
  <si>
    <t>person_263</t>
  </si>
  <si>
    <t>Medusa</t>
  </si>
  <si>
    <t>118943936</t>
  </si>
  <si>
    <t>Gorgone, deren Anblick versteinert</t>
  </si>
  <si>
    <t>person_264</t>
  </si>
  <si>
    <t>Pluton</t>
  </si>
  <si>
    <t>1336159596</t>
  </si>
  <si>
    <t>Römischer Gott der Unterwelt</t>
  </si>
  <si>
    <t>person_265</t>
  </si>
  <si>
    <t>Merkur</t>
  </si>
  <si>
    <t>118641077</t>
  </si>
  <si>
    <t>Römischer Gott des Verkehrs und der Kaufleute</t>
  </si>
  <si>
    <t>person_266</t>
  </si>
  <si>
    <t>Perseus</t>
  </si>
  <si>
    <t>118790455</t>
  </si>
  <si>
    <t>Griechische Heldenfigur</t>
  </si>
  <si>
    <t>person_267</t>
  </si>
  <si>
    <t>Atropos</t>
  </si>
  <si>
    <t>1317254384</t>
  </si>
  <si>
    <t>Griechische Schicksalsgöttin, eine der drei Moiren</t>
  </si>
  <si>
    <t>person_268</t>
  </si>
  <si>
    <t>Barbara von Nikomedien</t>
  </si>
  <si>
    <t>118506471</t>
  </si>
  <si>
    <t>Heilige</t>
  </si>
  <si>
    <t>person_271</t>
  </si>
  <si>
    <t>Karl Ludwig</t>
  </si>
  <si>
    <t>1617/1618</t>
  </si>
  <si>
    <t>118560182</t>
  </si>
  <si>
    <t>Kurfürst der Pfalz</t>
  </si>
  <si>
    <t>https://de.wikipedia.org/wiki/Karl_I._Ludwig_(Pfalz)</t>
  </si>
  <si>
    <t>person_272</t>
  </si>
  <si>
    <t>Dury</t>
  </si>
  <si>
    <t>John</t>
  </si>
  <si>
    <t>11868129X</t>
  </si>
  <si>
    <t>Schottischer Theologe, Diplomat</t>
  </si>
  <si>
    <t>https://de.wikipedia.org/wiki/John_Dury</t>
  </si>
  <si>
    <t>person_273</t>
  </si>
  <si>
    <t>Zesen</t>
  </si>
  <si>
    <t>Philipp von</t>
  </si>
  <si>
    <t>118636596</t>
  </si>
  <si>
    <t>Deutscher Schriftsteller, Gründer der Deutschgesinnten Genossenschaft (Lilien-Zunft)</t>
  </si>
  <si>
    <t>person_274</t>
  </si>
  <si>
    <t>Lucretia</t>
  </si>
  <si>
    <t>118574817</t>
  </si>
  <si>
    <t xml:space="preserve">Römische Gattin des Tarquinius Collatinus </t>
  </si>
  <si>
    <t>person_275</t>
  </si>
  <si>
    <t>Ovidius Naso</t>
  </si>
  <si>
    <t>118590995</t>
  </si>
  <si>
    <t>person_276</t>
  </si>
  <si>
    <t>1619/1620</t>
  </si>
  <si>
    <t>1684/1688</t>
  </si>
  <si>
    <t>Pfarrer, Professor für Hebräisch, Katechetik, Griechisch und Latein, Chorherr am Grossmünster</t>
  </si>
  <si>
    <t>Lebensdaten im HSL stimmen nicht mit Lebensdaten auf Lobid überein</t>
  </si>
  <si>
    <t>person_277</t>
  </si>
  <si>
    <t>person_278</t>
  </si>
  <si>
    <t>Elischa</t>
  </si>
  <si>
    <t>118688685</t>
  </si>
  <si>
    <t>Prophet aus dem 2. Buch der Könige</t>
  </si>
  <si>
    <t>person_279</t>
  </si>
  <si>
    <t>Johannes der Täufer</t>
  </si>
  <si>
    <t>118557858</t>
  </si>
  <si>
    <t>Prophet</t>
  </si>
  <si>
    <t>person_280</t>
  </si>
  <si>
    <t>Caesar</t>
  </si>
  <si>
    <t>Gaius Iulius</t>
  </si>
  <si>
    <t>44 v. Chr.</t>
  </si>
  <si>
    <t>118518275</t>
  </si>
  <si>
    <t>Römischer Feldherr, Historiker, Schriftsteller, Politiker</t>
  </si>
  <si>
    <t>person_281</t>
  </si>
  <si>
    <t>Helios</t>
  </si>
  <si>
    <t>119022230</t>
  </si>
  <si>
    <t>Sonnengott</t>
  </si>
  <si>
    <t>person_282</t>
  </si>
  <si>
    <t>Suevus</t>
  </si>
  <si>
    <t>person_283</t>
  </si>
  <si>
    <t>Momos</t>
  </si>
  <si>
    <t>119346842</t>
  </si>
  <si>
    <t>Griechischer Gott des Tadels, des Spotts und der Schmähsucht</t>
  </si>
  <si>
    <t>https://de.wikipedia.org/wiki/Momos</t>
  </si>
  <si>
    <t>person_284</t>
  </si>
  <si>
    <t>Galatea</t>
  </si>
  <si>
    <t>118689231</t>
  </si>
  <si>
    <t>Nymphe</t>
  </si>
  <si>
    <t>person_285</t>
  </si>
  <si>
    <t>Escher vom Luchs‏‎</t>
  </si>
  <si>
    <t>‎1644</t>
  </si>
  <si>
    <t>Bruder von Johannes Escher vom Luchs‏‎</t>
  </si>
  <si>
    <t>http://www.hfls.ch/humo-gen/family/1/F104225?main_person=I298575</t>
  </si>
  <si>
    <r>
      <rPr/>
      <t xml:space="preserve">In der </t>
    </r>
    <r>
      <rPr>
        <color rgb="FF1155CC"/>
        <u/>
      </rPr>
      <t xml:space="preserve">Trost-Erinnerung </t>
    </r>
    <r>
      <rPr/>
      <t>wird auf S. 7 Juncker Hans Heinrich erwähnt, der mit seinem jüngeren Bruder im Rhein baden ging</t>
    </r>
  </si>
  <si>
    <t>person_286</t>
  </si>
  <si>
    <t>Agapetus</t>
  </si>
  <si>
    <t>Constantinopolitanus</t>
  </si>
  <si>
    <t>6. Jh.</t>
  </si>
  <si>
    <t>118920898</t>
  </si>
  <si>
    <t>Diakon</t>
  </si>
  <si>
    <t>https://de.wikipedia.org/wiki/Agapetos</t>
  </si>
  <si>
    <t>person_287</t>
  </si>
  <si>
    <t>Justinian I.</t>
  </si>
  <si>
    <t>11855896X</t>
  </si>
  <si>
    <t>Römischer Kaiser</t>
  </si>
  <si>
    <t>person_288</t>
  </si>
  <si>
    <t>Theodora</t>
  </si>
  <si>
    <t>11862170X</t>
  </si>
  <si>
    <t>Ehefrau Justinians</t>
  </si>
  <si>
    <t>person_290</t>
  </si>
  <si>
    <t>Simmler</t>
  </si>
  <si>
    <t>Josias</t>
  </si>
  <si>
    <t>11879728X</t>
  </si>
  <si>
    <t>Theologe, Historiker, Mathematiker, Astronom und Geschichtsforscher, Pfarrer in Zollikon</t>
  </si>
  <si>
    <r>
      <rPr>
        <color rgb="FF434343"/>
        <u/>
      </rPr>
      <t>https://hls-dhs-dss.ch/de/articles/015794</t>
    </r>
    <r>
      <rPr>
        <color rgb="FF1F1F1F"/>
      </rPr>
      <t>; Emanuel Dejung und Willy Wuhrmann (Hg.): Zürcher Pfarrbuch 1519-1952, Zürich: Schulthess &amp; Co., S. 532.</t>
    </r>
  </si>
  <si>
    <t>person_291</t>
  </si>
  <si>
    <t>3. Ehemann von Magdalena Fäsi</t>
  </si>
  <si>
    <t>https://hfls.ch/humo-gen/birthday_family/1/F108093</t>
  </si>
  <si>
    <t>person_292</t>
  </si>
  <si>
    <t>Fäsi</t>
  </si>
  <si>
    <t>3. Ehefrau von Kapar Waser</t>
  </si>
  <si>
    <t>https://hfls.ch/humo-gen/birthday_family/1/F105238?main_person=I301701</t>
  </si>
  <si>
    <t>person_294</t>
  </si>
  <si>
    <t>Sohn von Johann Heinrich Waser</t>
  </si>
  <si>
    <t>https://www.hfls.ch/humo-gen/family/1/F106407?main_person=I305724</t>
  </si>
  <si>
    <t>person_295</t>
  </si>
  <si>
    <t>Simeon</t>
  </si>
  <si>
    <t>131990330</t>
  </si>
  <si>
    <t>Prophet, auch Simeon der Greis genannt</t>
  </si>
  <si>
    <t>https://de.wikipedia.org/wiki/Simeon_(Prophet)</t>
  </si>
  <si>
    <t>person_296</t>
  </si>
  <si>
    <t>M. G. H. H. H. D. J. H. H.</t>
  </si>
  <si>
    <t>Bisher nicht entschlüsselt</t>
  </si>
  <si>
    <t>person_297</t>
  </si>
  <si>
    <t>Horatius Flaccus</t>
  </si>
  <si>
    <t>Quintus</t>
  </si>
  <si>
    <t>65 v. Chr.</t>
  </si>
  <si>
    <t>8 v. Chr.</t>
  </si>
  <si>
    <t>118553569</t>
  </si>
  <si>
    <t>person_298</t>
  </si>
  <si>
    <t>Lavater</t>
  </si>
  <si>
    <t>Hans Conrad</t>
  </si>
  <si>
    <t>129810452</t>
  </si>
  <si>
    <t>https://hls-dhs-dss.ch/de/articles/023963</t>
  </si>
  <si>
    <t>person_299</t>
  </si>
  <si>
    <t>Joseph von Arimathäa</t>
  </si>
  <si>
    <t>132697661</t>
  </si>
  <si>
    <t>Anhänger von Jesus</t>
  </si>
  <si>
    <t>https://de.wikipedia.org/wiki/Josef_von_Arimathäa</t>
  </si>
  <si>
    <t>person_300</t>
  </si>
  <si>
    <t>Maria Magdalena</t>
  </si>
  <si>
    <t>118577840</t>
  </si>
  <si>
    <t>Jüngerin von Jesus, Heilige</t>
  </si>
  <si>
    <t>https://de.wikipedia.org/wiki/Maria_Magdalena</t>
  </si>
  <si>
    <t>person_301</t>
  </si>
  <si>
    <t>Merib-Baal</t>
  </si>
  <si>
    <t>133420558</t>
  </si>
  <si>
    <t>Sohn von Jonathan und Enkel von Saul</t>
  </si>
  <si>
    <t>https://de.wikipedia.org/wiki/Merib-Baal</t>
  </si>
  <si>
    <t>person_302</t>
  </si>
  <si>
    <t>Aurora</t>
  </si>
  <si>
    <t>119240416</t>
  </si>
  <si>
    <t>Römische Göttin der Morgenröte</t>
  </si>
  <si>
    <t>https://de.wikipedia.org/wiki/Eos_(Mythologie)</t>
  </si>
  <si>
    <t>person_303</t>
  </si>
  <si>
    <t>Isler</t>
  </si>
  <si>
    <t>3. Frau von Johann Jakob Ulrich</t>
  </si>
  <si>
    <t>person_304</t>
  </si>
  <si>
    <t>‎1616</t>
  </si>
  <si>
    <t>1690‎</t>
  </si>
  <si>
    <t>Vater von Johannes Escher vom Luchs</t>
  </si>
  <si>
    <t>https://www.hfls.ch/humo-gen/family/1/F104223?main_person=I298580#person_I298580</t>
  </si>
  <si>
    <t>person_305</t>
  </si>
  <si>
    <t>Verlorener Sohn</t>
  </si>
  <si>
    <t>Figur aus einem Gleichnis des Lukasevangeliums</t>
  </si>
  <si>
    <t>person_306</t>
  </si>
  <si>
    <t>H. G. Mr. H.</t>
  </si>
  <si>
    <t>person_308</t>
  </si>
  <si>
    <t>Werdmüller</t>
  </si>
  <si>
    <t>Johann Georg</t>
  </si>
  <si>
    <t>12352363X</t>
  </si>
  <si>
    <t>Militäringenieur, Offizier</t>
  </si>
  <si>
    <t>https://hls-dhs-dss.ch/de/articles/019950</t>
  </si>
  <si>
    <t>person_309</t>
  </si>
  <si>
    <t>Webbe</t>
  </si>
  <si>
    <t>George</t>
  </si>
  <si>
    <t>100480691</t>
  </si>
  <si>
    <t>Anglikanischer Bischof von Limerick, Schriftsteller</t>
  </si>
  <si>
    <t>https://ota.bodleian.ox.ac.uk/repository/xmlui/handle/20.500.12024/A14861</t>
  </si>
  <si>
    <t>Webbe verfasste "The practice of quietnes", die übersetzt durch Caspar Wyss als "Ruh und Fridensübung" 1646 in Zürich erschien</t>
  </si>
  <si>
    <t>person_310</t>
  </si>
  <si>
    <t>Diebolt</t>
  </si>
  <si>
    <t>128606894</t>
  </si>
  <si>
    <t>Glasmaler, Komponist</t>
  </si>
  <si>
    <t>https://www.e-manuscripta.ch/name/view/2589642</t>
  </si>
  <si>
    <t>person_311</t>
  </si>
  <si>
    <t>person_312</t>
  </si>
  <si>
    <t>person_313</t>
  </si>
  <si>
    <t>person_314</t>
  </si>
  <si>
    <t>person_315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</si>
</sst>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.yyyy"/>
    <numFmt numFmtId="165" formatCode="dd.MM.yyyy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color rgb="FF000000"/>
      <name val="Arial"/>
      <scheme val="minor"/>
    </font>
    <font>
      <u/>
      <color rgb="FF0000FF"/>
      <name val="Roboto"/>
    </font>
    <font>
      <u/>
      <color rgb="FF434343"/>
      <name val="Roboto"/>
    </font>
    <font>
      <u/>
      <color rgb="FF434343"/>
      <name val="Arial"/>
      <scheme val="minor"/>
    </font>
    <font>
      <u/>
      <color rgb="FF0000FF"/>
      <name val="Roboto"/>
    </font>
    <font>
      <u/>
      <color rgb="FF0000FF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BF9000"/>
        <bgColor rgb="FFBF9000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2" fontId="1" numFmtId="0" xfId="0" applyAlignment="1" applyFill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readingOrder="0" shrinkToFit="0" vertical="center" wrapText="0"/>
    </xf>
    <xf borderId="0" fillId="3" fontId="1" numFmtId="0" xfId="0" applyAlignment="1" applyFill="1" applyFont="1">
      <alignment shrinkToFit="0" vertical="center" wrapText="0"/>
    </xf>
    <xf borderId="0" fillId="4" fontId="1" numFmtId="0" xfId="0" applyAlignment="1" applyFill="1" applyFont="1">
      <alignment readingOrder="0" shrinkToFit="0" vertical="center" wrapText="0"/>
    </xf>
    <xf borderId="0" fillId="5" fontId="1" numFmtId="49" xfId="0" applyAlignment="1" applyFill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4" fontId="1" numFmtId="49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4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0" fillId="6" fontId="1" numFmtId="49" xfId="0" applyAlignment="1" applyFill="1" applyFont="1" applyNumberFormat="1">
      <alignment readingOrder="0" shrinkToFit="0" vertical="center" wrapText="0"/>
    </xf>
    <xf borderId="0" fillId="6" fontId="1" numFmtId="0" xfId="0" applyAlignment="1" applyFont="1">
      <alignment shrinkToFit="0" vertical="center" wrapText="0"/>
    </xf>
    <xf borderId="0" fillId="6" fontId="1" numFmtId="0" xfId="0" applyAlignment="1" applyFon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4" numFmtId="49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5" fontId="5" numFmtId="49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6" fontId="1" numFmtId="0" xfId="0" applyAlignment="1" applyFont="1">
      <alignment shrinkToFit="0" vertical="center" wrapText="0"/>
    </xf>
    <xf borderId="0" fillId="6" fontId="1" numFmtId="49" xfId="0" applyAlignment="1" applyFont="1" applyNumberFormat="1">
      <alignment shrinkToFit="0" vertical="center" wrapText="0"/>
    </xf>
    <xf borderId="0" fillId="0" fontId="5" numFmtId="49" xfId="0" applyAlignment="1" applyFont="1" applyNumberForma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7" numFmtId="49" xfId="0" applyAlignment="1" applyFont="1" applyNumberFormat="1">
      <alignment readingOrder="0" shrinkToFit="0" vertical="center" wrapText="0"/>
    </xf>
    <xf borderId="0" fillId="6" fontId="1" numFmtId="0" xfId="0" applyAlignment="1" applyFont="1">
      <alignment readingOrder="0" shrinkToFit="0" vertical="center" wrapText="0"/>
    </xf>
    <xf borderId="0" fillId="6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8" numFmtId="49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9" numFmtId="49" xfId="0" applyAlignment="1" applyFont="1" applyNumberForma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  <tableStyles count="5">
    <tableStyle count="4" pivot="0" name="Personen-style">
      <tableStyleElement dxfId="1" type="headerRow"/>
      <tableStyleElement dxfId="5" type="firstRowStripe"/>
      <tableStyleElement dxfId="6" type="secondRowStripe"/>
      <tableStyleElement dxfId="7" size="0" type="wholeTable"/>
    </tableStyle>
    <tableStyle count="4" pivot="0" name="Orte-style">
      <tableStyleElement dxfId="2" type="headerRow"/>
      <tableStyleElement dxfId="5" type="firstRowStripe"/>
      <tableStyleElement dxfId="6" type="secondRowStripe"/>
      <tableStyleElement dxfId="7" size="0" type="wholeTable"/>
    </tableStyle>
    <tableStyle count="4" pivot="0" name="Institutionen-style">
      <tableStyleElement dxfId="4" type="headerRow"/>
      <tableStyleElement dxfId="5" type="firstRowStripe"/>
      <tableStyleElement dxfId="6" type="secondRowStripe"/>
      <tableStyleElement dxfId="7" size="0" type="wholeTable"/>
    </tableStyle>
    <tableStyle count="4" pivot="0" name="Werke-style">
      <tableStyleElement dxfId="3" type="headerRow"/>
      <tableStyleElement dxfId="5" type="firstRowStripe"/>
      <tableStyleElement dxfId="6" type="secondRowStripe"/>
      <tableStyleElement dxfId="7" size="0" type="wholeTable"/>
    </tableStyle>
    <tableStyle count="4" pivot="0" name="Helvetismen-style">
      <tableStyleElement dxfId="8" type="headerRow"/>
      <tableStyleElement dxfId="5" type="firstRowStripe"/>
      <tableStyleElement dxfId="6" type="secondRowStripe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290" displayName="Personenindex" name="Personenindex" id="4">
  <autoFilter ref="$A$1:$K$290"/>
  <tableColumns count="11">
    <tableColumn name="Person-ID" id="1"/>
    <tableColumn name="Label [generiert, nicht manuell berarbeiten]" id="2"/>
    <tableColumn name="Familienname" id="3"/>
    <tableColumn name="Vorname" id="4"/>
    <tableColumn name="Geburtsdatum" id="5"/>
    <tableColumn name="Sterbedatum" id="6"/>
    <tableColumn name="GND" id="7"/>
    <tableColumn name="Kurzbeschreibung" id="8"/>
    <tableColumn name="Kategorie" id="9"/>
    <tableColumn name="Quellen" id="10"/>
    <tableColumn name="Bemerkungen" id="11"/>
  </tableColumns>
  <tableStyleInfo name="Personen-style" showColumnStripes="0" showFirstColumn="1" showLastColumn="1" showRowStripes="1"/>
</table>
</file>

<file path=xl/tables/table2.xml><?xml version="1.0" encoding="utf-8"?>
<table xmlns="http://schemas.openxmlformats.org/spreadsheetml/2006/main" ref="A1:G132" displayName="Orteindex" name="Orteindex" id="3">
  <tableColumns count="7">
    <tableColumn name="Ort-ID" id="1"/>
    <tableColumn name="Label [generiert, nicht manuell berarbeiten]" id="2"/>
    <tableColumn name="Name" id="3"/>
    <tableColumn name="Namensvariante" id="4"/>
    <tableColumn name="GeoNames" id="5"/>
    <tableColumn name="Kategorie" id="6"/>
    <tableColumn name="Bemerkungen" id="7"/>
  </tableColumns>
  <tableStyleInfo name="Orte-style" showColumnStripes="0" showFirstColumn="1" showLastColumn="1" showRowStripes="1"/>
</table>
</file>

<file path=xl/tables/table3.xml><?xml version="1.0" encoding="utf-8"?>
<table xmlns="http://schemas.openxmlformats.org/spreadsheetml/2006/main" ref="A1:I40" displayName="Werkindex" name="Werkindex" id="2">
  <tableColumns count="9">
    <tableColumn name="Werk-ID" id="1"/>
    <tableColumn name="Label [generiert, nicht manuell berarbeiten]" id="2"/>
    <tableColumn name="Titel" id="3"/>
    <tableColumn name="Person" id="4"/>
    <tableColumn name="Jahr" id="5"/>
    <tableColumn name="Ort" id="6"/>
    <tableColumn name="Verlag" id="7"/>
    <tableColumn name="Kategorie" id="8"/>
    <tableColumn name="Bemerkungen" id="9"/>
  </tableColumns>
  <tableStyleInfo name="Werke-style" showColumnStripes="0" showFirstColumn="1" showLastColumn="1" showRowStripes="1"/>
</table>
</file>

<file path=xl/tables/table4.xml><?xml version="1.0" encoding="utf-8"?>
<table xmlns="http://schemas.openxmlformats.org/spreadsheetml/2006/main" ref="A1:F34" displayName="Institutionenindex" name="Institutionenindex" id="1">
  <tableColumns count="6">
    <tableColumn name="Institution-ID" id="1"/>
    <tableColumn name="Label [generiert, nicht manuell berarbeiten]" id="2"/>
    <tableColumn name="Name" id="3"/>
    <tableColumn name="GND" id="4"/>
    <tableColumn name="Typ" id="5"/>
    <tableColumn name="Bemerkungen" id="6"/>
  </tableColumns>
  <tableStyleInfo name="Institutionen-style" showColumnStripes="0" showFirstColumn="1" showLastColumn="1" showRowStripes="1"/>
</table>
</file>

<file path=xl/tables/table5.xml><?xml version="1.0" encoding="utf-8"?>
<table xmlns="http://schemas.openxmlformats.org/spreadsheetml/2006/main" ref="A1:F8" displayName="Helvetismusindex" name="Helvetismusindex" id="5">
  <tableColumns count="6">
    <tableColumn name="Helvetismus-ID" id="1"/>
    <tableColumn name="Label [generiert, nicht manuell berarbeiten]" id="2"/>
    <tableColumn name="Helvetismus" id="3"/>
    <tableColumn name="Bedeutung" id="4"/>
    <tableColumn name="Link Idiotikon" id="5"/>
    <tableColumn name="Bemerkungen" id="6"/>
  </tableColumns>
  <tableStyleInfo name="Helvetisme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e.wikipedia.org/wiki/Aaron_(biblische_Person)" TargetMode="External"/><Relationship Id="rId42" Type="http://schemas.openxmlformats.org/officeDocument/2006/relationships/hyperlink" Target="https://de.wikipedia.org/wiki/Hiskija" TargetMode="External"/><Relationship Id="rId41" Type="http://schemas.openxmlformats.org/officeDocument/2006/relationships/hyperlink" Target="https://de.wikipedia.org/wiki/Asaf" TargetMode="External"/><Relationship Id="rId44" Type="http://schemas.openxmlformats.org/officeDocument/2006/relationships/hyperlink" Target="https://de.wikipedia.org/wiki/Adam_und_Eva" TargetMode="External"/><Relationship Id="rId43" Type="http://schemas.openxmlformats.org/officeDocument/2006/relationships/hyperlink" Target="https://de.wikipedia.org/wiki/Adam_und_Eva" TargetMode="External"/><Relationship Id="rId46" Type="http://schemas.openxmlformats.org/officeDocument/2006/relationships/hyperlink" Target="https://de.wikipedia.org/wiki/Kajaphas" TargetMode="External"/><Relationship Id="rId45" Type="http://schemas.openxmlformats.org/officeDocument/2006/relationships/hyperlink" Target="https://de.wikipedia.org/wiki/Barabbas" TargetMode="External"/><Relationship Id="rId107" Type="http://schemas.openxmlformats.org/officeDocument/2006/relationships/hyperlink" Target="https://hls-dhs-dss.ch/de/articles/010944" TargetMode="External"/><Relationship Id="rId106" Type="http://schemas.openxmlformats.org/officeDocument/2006/relationships/hyperlink" Target="https://hls-dhs-dss.ch/de/articles/018116" TargetMode="External"/><Relationship Id="rId105" Type="http://schemas.openxmlformats.org/officeDocument/2006/relationships/hyperlink" Target="https://suche.staatsarchiv.djiktzh.ch/detail.aspx?ID=1960657" TargetMode="External"/><Relationship Id="rId104" Type="http://schemas.openxmlformats.org/officeDocument/2006/relationships/hyperlink" Target="http://www.hfls.ch/humo-gen/family/1/F137889?main_person=I375790" TargetMode="External"/><Relationship Id="rId109" Type="http://schemas.openxmlformats.org/officeDocument/2006/relationships/hyperlink" Target="https://hls-dhs-dss.ch/de/articles/023799" TargetMode="External"/><Relationship Id="rId108" Type="http://schemas.openxmlformats.org/officeDocument/2006/relationships/hyperlink" Target="http://www.hfls.ch/humo-gen/family/1/F104223?main_person=I298580" TargetMode="External"/><Relationship Id="rId48" Type="http://schemas.openxmlformats.org/officeDocument/2006/relationships/hyperlink" Target="https://de.wikipedia.org/wiki/Erzengel_Gabriel" TargetMode="External"/><Relationship Id="rId47" Type="http://schemas.openxmlformats.org/officeDocument/2006/relationships/hyperlink" Target="https://de.wikipedia.org/wiki/Judas_Iskariot" TargetMode="External"/><Relationship Id="rId49" Type="http://schemas.openxmlformats.org/officeDocument/2006/relationships/hyperlink" Target="https://de.wikipedia.org/wiki/Herodes" TargetMode="External"/><Relationship Id="rId103" Type="http://schemas.openxmlformats.org/officeDocument/2006/relationships/hyperlink" Target="http://www.hfls.ch/humo-gen/family/1/F137889?main_person=I317050" TargetMode="External"/><Relationship Id="rId102" Type="http://schemas.openxmlformats.org/officeDocument/2006/relationships/hyperlink" Target="http://www.hfls.ch/humo-gen/family/1/F100595?main_person=I287719" TargetMode="External"/><Relationship Id="rId101" Type="http://schemas.openxmlformats.org/officeDocument/2006/relationships/hyperlink" Target="http://www.hfls.ch/humo-gen/family/1/F100595?main_person=I287719" TargetMode="External"/><Relationship Id="rId100" Type="http://schemas.openxmlformats.org/officeDocument/2006/relationships/hyperlink" Target="http://www.hfls.ch/humo-gen/family/1/F110834?main_person=I319760" TargetMode="External"/><Relationship Id="rId31" Type="http://schemas.openxmlformats.org/officeDocument/2006/relationships/hyperlink" Target="https://de.wikipedia.org/wiki/Xerxes_I." TargetMode="External"/><Relationship Id="rId30" Type="http://schemas.openxmlformats.org/officeDocument/2006/relationships/hyperlink" Target="https://de.wikipedia.org/wiki/Amor_(Mythologie)" TargetMode="External"/><Relationship Id="rId33" Type="http://schemas.openxmlformats.org/officeDocument/2006/relationships/hyperlink" Target="https://www.dwds.de/wb/dwb/neidhard" TargetMode="External"/><Relationship Id="rId32" Type="http://schemas.openxmlformats.org/officeDocument/2006/relationships/hyperlink" Target="https://de.wikipedia.org/wiki/Paulus_von_Tarsus" TargetMode="External"/><Relationship Id="rId35" Type="http://schemas.openxmlformats.org/officeDocument/2006/relationships/hyperlink" Target="https://de.wikipedia.org/wiki/David" TargetMode="External"/><Relationship Id="rId34" Type="http://schemas.openxmlformats.org/officeDocument/2006/relationships/hyperlink" Target="https://de.wikipedia.org/wiki/Pegasos_(Mythologie)" TargetMode="External"/><Relationship Id="rId37" Type="http://schemas.openxmlformats.org/officeDocument/2006/relationships/hyperlink" Target="https://de.wikipedia.org/wiki/Saul" TargetMode="External"/><Relationship Id="rId176" Type="http://schemas.openxmlformats.org/officeDocument/2006/relationships/hyperlink" Target="https://www.e-manuscripta.ch/name/view/2589642" TargetMode="External"/><Relationship Id="rId36" Type="http://schemas.openxmlformats.org/officeDocument/2006/relationships/hyperlink" Target="https://de.wikipedia.org/wiki/Torquato_Tasso" TargetMode="External"/><Relationship Id="rId175" Type="http://schemas.openxmlformats.org/officeDocument/2006/relationships/hyperlink" Target="https://ota.bodleian.ox.ac.uk/repository/xmlui/handle/20.500.12024/A14861" TargetMode="External"/><Relationship Id="rId39" Type="http://schemas.openxmlformats.org/officeDocument/2006/relationships/hyperlink" Target="https://de.wikipedia.org/wiki/Abraham" TargetMode="External"/><Relationship Id="rId174" Type="http://schemas.openxmlformats.org/officeDocument/2006/relationships/hyperlink" Target="https://hls-dhs-dss.ch/de/articles/019950" TargetMode="External"/><Relationship Id="rId38" Type="http://schemas.openxmlformats.org/officeDocument/2006/relationships/hyperlink" Target="https://de.wikipedia.org/wiki/Abschalom" TargetMode="External"/><Relationship Id="rId173" Type="http://schemas.openxmlformats.org/officeDocument/2006/relationships/hyperlink" Target="https://www.hfls.ch/humo-gen/family/1/F104223?main_person=I298580" TargetMode="External"/><Relationship Id="rId179" Type="http://schemas.openxmlformats.org/officeDocument/2006/relationships/table" Target="../tables/table1.xml"/><Relationship Id="rId177" Type="http://schemas.openxmlformats.org/officeDocument/2006/relationships/drawing" Target="../drawings/drawing1.xml"/><Relationship Id="rId20" Type="http://schemas.openxmlformats.org/officeDocument/2006/relationships/hyperlink" Target="https://de.wikipedia.org/wiki/Vergil" TargetMode="External"/><Relationship Id="rId22" Type="http://schemas.openxmlformats.org/officeDocument/2006/relationships/hyperlink" Target="https://de.wikipedia.org/wiki/Balthasar_Venator" TargetMode="External"/><Relationship Id="rId21" Type="http://schemas.openxmlformats.org/officeDocument/2006/relationships/hyperlink" Target="https://de.wikipedia.org/wiki/August_Buchner" TargetMode="External"/><Relationship Id="rId24" Type="http://schemas.openxmlformats.org/officeDocument/2006/relationships/hyperlink" Target="https://de.wikipedia.org/wiki/Georg_Rodolf_Weckherlin" TargetMode="External"/><Relationship Id="rId23" Type="http://schemas.openxmlformats.org/officeDocument/2006/relationships/hyperlink" Target="https://www.deutsche-digitale-bibliothek.de/person/gnd/129154652" TargetMode="External"/><Relationship Id="rId129" Type="http://schemas.openxmlformats.org/officeDocument/2006/relationships/hyperlink" Target="https://www.hfls.ch/humo-gen/family/1/F176259?main_person=I478231" TargetMode="External"/><Relationship Id="rId128" Type="http://schemas.openxmlformats.org/officeDocument/2006/relationships/hyperlink" Target="https://hls-dhs-dss.ch/de/articles/018059/2021-08-02/" TargetMode="External"/><Relationship Id="rId127" Type="http://schemas.openxmlformats.org/officeDocument/2006/relationships/hyperlink" Target="https://hls-dhs-dss.ch/de/articles/018077/2021-08-02/" TargetMode="External"/><Relationship Id="rId126" Type="http://schemas.openxmlformats.org/officeDocument/2006/relationships/hyperlink" Target="https://www.hfls.ch/humo-gen/family/1/F109445?main_person=I315038" TargetMode="External"/><Relationship Id="rId26" Type="http://schemas.openxmlformats.org/officeDocument/2006/relationships/hyperlink" Target="https://de.wikipedia.org/wiki/Diederich_von_dem_Werder" TargetMode="External"/><Relationship Id="rId121" Type="http://schemas.openxmlformats.org/officeDocument/2006/relationships/hyperlink" Target="http://www.hfls.ch/humo-gen/family/1/F112154?main_person=I324377" TargetMode="External"/><Relationship Id="rId25" Type="http://schemas.openxmlformats.org/officeDocument/2006/relationships/hyperlink" Target="https://de.wikipedia.org/wiki/Guillaume_de_Saluste_du_Bartas" TargetMode="External"/><Relationship Id="rId120" Type="http://schemas.openxmlformats.org/officeDocument/2006/relationships/hyperlink" Target="https://www.hfls.ch/humo-gen/family/1/F107894?main_person=I309814" TargetMode="External"/><Relationship Id="rId28" Type="http://schemas.openxmlformats.org/officeDocument/2006/relationships/hyperlink" Target="https://de.wikipedia.org/wiki/Johann_Rist" TargetMode="External"/><Relationship Id="rId27" Type="http://schemas.openxmlformats.org/officeDocument/2006/relationships/hyperlink" Target="https://de.wikipedia.org/wiki/Zacharias_Lund" TargetMode="External"/><Relationship Id="rId125" Type="http://schemas.openxmlformats.org/officeDocument/2006/relationships/hyperlink" Target="http://www.hfls.ch/humo-gen/family/1/F109445?main_person=I315155" TargetMode="External"/><Relationship Id="rId29" Type="http://schemas.openxmlformats.org/officeDocument/2006/relationships/hyperlink" Target="https://de.wikipedia.org/wiki/Venus_(Mythologie)" TargetMode="External"/><Relationship Id="rId124" Type="http://schemas.openxmlformats.org/officeDocument/2006/relationships/hyperlink" Target="https://www.hfls.ch/humo-gen/family/1/F101932?main_person=I291674" TargetMode="External"/><Relationship Id="rId123" Type="http://schemas.openxmlformats.org/officeDocument/2006/relationships/hyperlink" Target="https://suche.staatsarchiv.djiktzh.ch/detail.aspx?ID=1968284" TargetMode="External"/><Relationship Id="rId122" Type="http://schemas.openxmlformats.org/officeDocument/2006/relationships/hyperlink" Target="https://www.hfls.ch/humo-gen/family/1/F112154?main_person=I324378" TargetMode="External"/><Relationship Id="rId95" Type="http://schemas.openxmlformats.org/officeDocument/2006/relationships/hyperlink" Target="https://suche.staatsarchiv.djiktzh.ch/detail.aspx?ID=2066139" TargetMode="External"/><Relationship Id="rId94" Type="http://schemas.openxmlformats.org/officeDocument/2006/relationships/hyperlink" Target="http://www.hfls.ch/humo-gen/family/1/F102166?main_person=I292424" TargetMode="External"/><Relationship Id="rId97" Type="http://schemas.openxmlformats.org/officeDocument/2006/relationships/hyperlink" Target="https://hls-dhs-dss.ch/de/articles/010844/2011-05-20/" TargetMode="External"/><Relationship Id="rId96" Type="http://schemas.openxmlformats.org/officeDocument/2006/relationships/hyperlink" Target="https://suche.staatsarchiv.djiktzh.ch/detail.aspx?ID=2066139" TargetMode="External"/><Relationship Id="rId11" Type="http://schemas.openxmlformats.org/officeDocument/2006/relationships/hyperlink" Target="https://de.wikipedia.org/wiki/Andreas_Schwilge" TargetMode="External"/><Relationship Id="rId99" Type="http://schemas.openxmlformats.org/officeDocument/2006/relationships/hyperlink" Target="http://www.hfls.ch/humo-gen/family/1/F110834?main_person=I319759" TargetMode="External"/><Relationship Id="rId10" Type="http://schemas.openxmlformats.org/officeDocument/2006/relationships/hyperlink" Target="https://hls-dhs-dss.ch/de/articles/029413/2010-05-18/" TargetMode="External"/><Relationship Id="rId98" Type="http://schemas.openxmlformats.org/officeDocument/2006/relationships/hyperlink" Target="http://www.hfls.ch/humo-gen/family/1/F110440?main_person=I318491" TargetMode="External"/><Relationship Id="rId13" Type="http://schemas.openxmlformats.org/officeDocument/2006/relationships/hyperlink" Target="https://www.hfls.ch/humo-gen/family/1/F107251?main_person=I303305" TargetMode="External"/><Relationship Id="rId12" Type="http://schemas.openxmlformats.org/officeDocument/2006/relationships/hyperlink" Target="https://www.degruyterbrill.com/database/dba/entry/dba.D561-546-5/html" TargetMode="External"/><Relationship Id="rId91" Type="http://schemas.openxmlformats.org/officeDocument/2006/relationships/hyperlink" Target="https://www.hfls.ch/humo-gen/birthday_family/1/F101119?main_person=I289249" TargetMode="External"/><Relationship Id="rId90" Type="http://schemas.openxmlformats.org/officeDocument/2006/relationships/hyperlink" Target="https://www.hfls.ch/humo-gen/birthday_family/1/F101119?main_person=I289248" TargetMode="External"/><Relationship Id="rId93" Type="http://schemas.openxmlformats.org/officeDocument/2006/relationships/hyperlink" Target="http://www.hfls.ch/humo-gen/birthday_family/1/F135441?main_person=I371469" TargetMode="External"/><Relationship Id="rId92" Type="http://schemas.openxmlformats.org/officeDocument/2006/relationships/hyperlink" Target="http://www.hfls.ch/humo-gen/birthday_family/1/F135441?main_person=I110567" TargetMode="External"/><Relationship Id="rId118" Type="http://schemas.openxmlformats.org/officeDocument/2006/relationships/hyperlink" Target="https://hls-dhs-dss.ch/de/articles/023976/2009-10-13/" TargetMode="External"/><Relationship Id="rId117" Type="http://schemas.openxmlformats.org/officeDocument/2006/relationships/hyperlink" Target="https://www.hfls.ch/humo-gen/family/1/F106404?main_person=I301391" TargetMode="External"/><Relationship Id="rId116" Type="http://schemas.openxmlformats.org/officeDocument/2006/relationships/hyperlink" Target="https://hls-dhs-dss.ch/de/articles/018072/2005-12-05/" TargetMode="External"/><Relationship Id="rId115" Type="http://schemas.openxmlformats.org/officeDocument/2006/relationships/hyperlink" Target="https://de.wikipedia.org/wiki/Augustinus_von_Hippo" TargetMode="External"/><Relationship Id="rId119" Type="http://schemas.openxmlformats.org/officeDocument/2006/relationships/hyperlink" Target="https://hls-dhs-dss.ch/de/articles/010885/2013-01-25/" TargetMode="External"/><Relationship Id="rId15" Type="http://schemas.openxmlformats.org/officeDocument/2006/relationships/hyperlink" Target="https://www.hfls.ch/humo-gen/family/1/F101155?main_person=I289353" TargetMode="External"/><Relationship Id="rId110" Type="http://schemas.openxmlformats.org/officeDocument/2006/relationships/hyperlink" Target="https://www.hfls.ch/humo-gen/family/1/F110716?main_person=I319439" TargetMode="External"/><Relationship Id="rId14" Type="http://schemas.openxmlformats.org/officeDocument/2006/relationships/hyperlink" Target="https://hfls.ch/humo-gen/birthday_family/1/F150960" TargetMode="External"/><Relationship Id="rId17" Type="http://schemas.openxmlformats.org/officeDocument/2006/relationships/hyperlink" Target="https://hls-dhs-dss.ch/de/articles/046252" TargetMode="External"/><Relationship Id="rId16" Type="http://schemas.openxmlformats.org/officeDocument/2006/relationships/hyperlink" Target="https://hls-dhs-dss.ch/de/articles/026107/2011-11-03/" TargetMode="External"/><Relationship Id="rId19" Type="http://schemas.openxmlformats.org/officeDocument/2006/relationships/hyperlink" Target="https://hls-dhs-dss.ch/de/articles/012364/2013-02-21/" TargetMode="External"/><Relationship Id="rId114" Type="http://schemas.openxmlformats.org/officeDocument/2006/relationships/hyperlink" Target="https://de.wikipedia.org/wiki/Simon_von_Cyrene" TargetMode="External"/><Relationship Id="rId18" Type="http://schemas.openxmlformats.org/officeDocument/2006/relationships/hyperlink" Target="https://de.wikipedia.org/wiki/Daniel_B%C3%A4rholz" TargetMode="External"/><Relationship Id="rId113" Type="http://schemas.openxmlformats.org/officeDocument/2006/relationships/hyperlink" Target="http://www.hfls.ch/humo-gen/family/1/F103232?main_person=I295072" TargetMode="External"/><Relationship Id="rId112" Type="http://schemas.openxmlformats.org/officeDocument/2006/relationships/hyperlink" Target="http://www.hfls.ch/humo-gen/family/1/F144765?main_person=I393300" TargetMode="External"/><Relationship Id="rId111" Type="http://schemas.openxmlformats.org/officeDocument/2006/relationships/hyperlink" Target="http://www.hfls.ch/humo-gen/family/1/F102374?main_person=I293049" TargetMode="External"/><Relationship Id="rId84" Type="http://schemas.openxmlformats.org/officeDocument/2006/relationships/hyperlink" Target="https://de.wikipedia.org/wiki/Tiberius_Sempronius_Gracchus_(Konsul_177_v._Chr.)" TargetMode="External"/><Relationship Id="rId83" Type="http://schemas.openxmlformats.org/officeDocument/2006/relationships/hyperlink" Target="https://de.wikipedia.org/wiki/Matthias_(Apostel)" TargetMode="External"/><Relationship Id="rId86" Type="http://schemas.openxmlformats.org/officeDocument/2006/relationships/hyperlink" Target="https://de.wikipedia.org/wiki/Mose" TargetMode="External"/><Relationship Id="rId85" Type="http://schemas.openxmlformats.org/officeDocument/2006/relationships/hyperlink" Target="https://de.wikipedia.org/wiki/Cornelia_(Mutter_der_Gracchen)" TargetMode="External"/><Relationship Id="rId88" Type="http://schemas.openxmlformats.org/officeDocument/2006/relationships/hyperlink" Target="https://www.hfls.ch/humo-gen/family/1/F144930?main_person=I255733" TargetMode="External"/><Relationship Id="rId150" Type="http://schemas.openxmlformats.org/officeDocument/2006/relationships/hyperlink" Target="https://de.wikipedia.org/wiki/Johann_Jakob_Irminger" TargetMode="External"/><Relationship Id="rId87" Type="http://schemas.openxmlformats.org/officeDocument/2006/relationships/hyperlink" Target="https://hls-dhs-dss.ch/de/articles/018055/2013-08-26/" TargetMode="External"/><Relationship Id="rId89" Type="http://schemas.openxmlformats.org/officeDocument/2006/relationships/hyperlink" Target="https://hfls.ch/humo-gen/birthday_family/1/F108044?main_person=I310245" TargetMode="External"/><Relationship Id="rId80" Type="http://schemas.openxmlformats.org/officeDocument/2006/relationships/hyperlink" Target="https://de.wikipedia.org/wiki/Jesus_Sirach" TargetMode="External"/><Relationship Id="rId82" Type="http://schemas.openxmlformats.org/officeDocument/2006/relationships/hyperlink" Target="https://de.wikipedia.org/wiki/Zephyr" TargetMode="External"/><Relationship Id="rId81" Type="http://schemas.openxmlformats.org/officeDocument/2006/relationships/hyperlink" Target="https://hls-dhs-dss.ch/de/articles/017475/2013-12-17/" TargetMode="External"/><Relationship Id="rId1" Type="http://schemas.openxmlformats.org/officeDocument/2006/relationships/hyperlink" Target="https://hls-dhs-dss.ch/de/articles/012297/2011-06-08/" TargetMode="External"/><Relationship Id="rId2" Type="http://schemas.openxmlformats.org/officeDocument/2006/relationships/hyperlink" Target="https://de.wikipedia.org/wiki/Martin_Opitz" TargetMode="External"/><Relationship Id="rId3" Type="http://schemas.openxmlformats.org/officeDocument/2006/relationships/hyperlink" Target="https://hls-dhs-dss.ch/de/articles/016777" TargetMode="External"/><Relationship Id="rId149" Type="http://schemas.openxmlformats.org/officeDocument/2006/relationships/hyperlink" Target="https://de.wikipedia.org/wiki/Johann_Jakob_Breitinger_(Antistes)" TargetMode="External"/><Relationship Id="rId4" Type="http://schemas.openxmlformats.org/officeDocument/2006/relationships/hyperlink" Target="https://de.wikipedia.org/wiki/Johann_Jakob_Bodmer_(Drucker)" TargetMode="External"/><Relationship Id="rId148" Type="http://schemas.openxmlformats.org/officeDocument/2006/relationships/hyperlink" Target="https://hls-dhs-dss.ch/de/articles/010443/2011-04-07/" TargetMode="External"/><Relationship Id="rId9" Type="http://schemas.openxmlformats.org/officeDocument/2006/relationships/hyperlink" Target="https://hls-dhs-dss.ch/de/articles/018097/2010-07-26/" TargetMode="External"/><Relationship Id="rId143" Type="http://schemas.openxmlformats.org/officeDocument/2006/relationships/hyperlink" Target="https://hls-dhs-dss.ch/de/articles/048345/2009-02-02/" TargetMode="External"/><Relationship Id="rId142" Type="http://schemas.openxmlformats.org/officeDocument/2006/relationships/hyperlink" Target="https://www.hfls.ch/humo-gen/family/1/F9243?main_person=I23036" TargetMode="External"/><Relationship Id="rId141" Type="http://schemas.openxmlformats.org/officeDocument/2006/relationships/hyperlink" Target="https://www.hfls.ch/humo-gen/family/1/F100903?main_person=I288642" TargetMode="External"/><Relationship Id="rId140" Type="http://schemas.openxmlformats.org/officeDocument/2006/relationships/hyperlink" Target="https://www.hfls.ch/humo-gen/family/1/F144462?main_person=I332629" TargetMode="External"/><Relationship Id="rId5" Type="http://schemas.openxmlformats.org/officeDocument/2006/relationships/hyperlink" Target="https://hls-dhs-dss.ch/de/articles/018056/2004-11-04/" TargetMode="External"/><Relationship Id="rId147" Type="http://schemas.openxmlformats.org/officeDocument/2006/relationships/hyperlink" Target="https://hls-dhs-dss.ch/de/articles/010447/2014-03-04/" TargetMode="External"/><Relationship Id="rId6" Type="http://schemas.openxmlformats.org/officeDocument/2006/relationships/hyperlink" Target="https://hls-dhs-dss.ch/de/articles/010460/2006-04-05/" TargetMode="External"/><Relationship Id="rId146" Type="http://schemas.openxmlformats.org/officeDocument/2006/relationships/hyperlink" Target="https://www.hfls.ch/humo-gen/family/1/F105950" TargetMode="External"/><Relationship Id="rId7" Type="http://schemas.openxmlformats.org/officeDocument/2006/relationships/hyperlink" Target="https://www.e-periodica.ch/cntmng?pid=fsj-001%3A1937%3A4%3A%3A121" TargetMode="External"/><Relationship Id="rId145" Type="http://schemas.openxmlformats.org/officeDocument/2006/relationships/hyperlink" Target="https://www.hfls.ch/humo-gen/family/1/F108131?main_person=I310525" TargetMode="External"/><Relationship Id="rId8" Type="http://schemas.openxmlformats.org/officeDocument/2006/relationships/hyperlink" Target="https://hls-dhs-dss.ch/de/articles/019140/2011-04-20/" TargetMode="External"/><Relationship Id="rId144" Type="http://schemas.openxmlformats.org/officeDocument/2006/relationships/hyperlink" Target="https://www.digibern.ch/katalog/historisch-biographisches-lexikon-der-schweiz" TargetMode="External"/><Relationship Id="rId73" Type="http://schemas.openxmlformats.org/officeDocument/2006/relationships/hyperlink" Target="https://de.wikipedia.org/wiki/Hesiod" TargetMode="External"/><Relationship Id="rId72" Type="http://schemas.openxmlformats.org/officeDocument/2006/relationships/hyperlink" Target="https://de.wikipedia.org/wiki/Sara_(Erzmutter)" TargetMode="External"/><Relationship Id="rId75" Type="http://schemas.openxmlformats.org/officeDocument/2006/relationships/hyperlink" Target="https://de.wikipedia.org/wiki/Salomo" TargetMode="External"/><Relationship Id="rId74" Type="http://schemas.openxmlformats.org/officeDocument/2006/relationships/hyperlink" Target="https://de.wikipedia.org/wiki/Parmenides" TargetMode="External"/><Relationship Id="rId77" Type="http://schemas.openxmlformats.org/officeDocument/2006/relationships/hyperlink" Target="https://www.die-bibel.de/ressourcen/wibilex/altes-testament/rahel" TargetMode="External"/><Relationship Id="rId76" Type="http://schemas.openxmlformats.org/officeDocument/2006/relationships/hyperlink" Target="https://de.wikipedia.org/wiki/Isaak" TargetMode="External"/><Relationship Id="rId79" Type="http://schemas.openxmlformats.org/officeDocument/2006/relationships/hyperlink" Target="https://de.wikipedia.org/wiki/Simson" TargetMode="External"/><Relationship Id="rId78" Type="http://schemas.openxmlformats.org/officeDocument/2006/relationships/hyperlink" Target="https://de.wikipedia.org/wiki/Ijob" TargetMode="External"/><Relationship Id="rId71" Type="http://schemas.openxmlformats.org/officeDocument/2006/relationships/hyperlink" Target="https://de.wikipedia.org/wiki/Asteria_(Tochter_des_Koios)" TargetMode="External"/><Relationship Id="rId70" Type="http://schemas.openxmlformats.org/officeDocument/2006/relationships/hyperlink" Target="https://de.wikipedia.org/wiki/Rebekka" TargetMode="External"/><Relationship Id="rId139" Type="http://schemas.openxmlformats.org/officeDocument/2006/relationships/hyperlink" Target="https://de.wikipedia.org/wiki/Johann_Rudolf_Schmid_von_Schwarzenhorn" TargetMode="External"/><Relationship Id="rId138" Type="http://schemas.openxmlformats.org/officeDocument/2006/relationships/hyperlink" Target="https://hls-dhs-dss.ch/de/articles/046021/2008-11-11/" TargetMode="External"/><Relationship Id="rId137" Type="http://schemas.openxmlformats.org/officeDocument/2006/relationships/hyperlink" Target="https://personae.ssrq-sds-fds.ch/?query=per015033&amp;query-type=perid" TargetMode="External"/><Relationship Id="rId132" Type="http://schemas.openxmlformats.org/officeDocument/2006/relationships/hyperlink" Target="https://hls-dhs-dss.ch/de/articles/010916" TargetMode="External"/><Relationship Id="rId131" Type="http://schemas.openxmlformats.org/officeDocument/2006/relationships/hyperlink" Target="https://hls-dhs-dss.ch/de/articles/010505" TargetMode="External"/><Relationship Id="rId130" Type="http://schemas.openxmlformats.org/officeDocument/2006/relationships/hyperlink" Target="https://hls-dhs-dss.ch/de/articles/016768/2004-08-26/" TargetMode="External"/><Relationship Id="rId136" Type="http://schemas.openxmlformats.org/officeDocument/2006/relationships/hyperlink" Target="https://de.wikipedia.org/wiki/Johann_Ludwig_II._von_Sulz" TargetMode="External"/><Relationship Id="rId135" Type="http://schemas.openxmlformats.org/officeDocument/2006/relationships/hyperlink" Target="https://www.hfls.ch/humo-gen/family/1/F104421?main_person=I299176" TargetMode="External"/><Relationship Id="rId134" Type="http://schemas.openxmlformats.org/officeDocument/2006/relationships/hyperlink" Target="https://hls-dhs-dss.ch/articles/023857/2025-08-12/" TargetMode="External"/><Relationship Id="rId133" Type="http://schemas.openxmlformats.org/officeDocument/2006/relationships/hyperlink" Target="https://hls-dhs-dss.ch/de/articles/011842" TargetMode="External"/><Relationship Id="rId62" Type="http://schemas.openxmlformats.org/officeDocument/2006/relationships/hyperlink" Target="https://de.wikipedia.org/wiki/Erzengel_Raphael" TargetMode="External"/><Relationship Id="rId61" Type="http://schemas.openxmlformats.org/officeDocument/2006/relationships/hyperlink" Target="https://de.wikipedia.org/wiki/Tobias_(Sohn_des_Tobit)" TargetMode="External"/><Relationship Id="rId64" Type="http://schemas.openxmlformats.org/officeDocument/2006/relationships/hyperlink" Target="https://de.wikipedia.org/wiki/Ceres_(Mythologie)" TargetMode="External"/><Relationship Id="rId63" Type="http://schemas.openxmlformats.org/officeDocument/2006/relationships/hyperlink" Target="https://de.wikipedia.org/wiki/Boreas" TargetMode="External"/><Relationship Id="rId66" Type="http://schemas.openxmlformats.org/officeDocument/2006/relationships/hyperlink" Target="https://de.wikipedia.org/wiki/Sokrates" TargetMode="External"/><Relationship Id="rId172" Type="http://schemas.openxmlformats.org/officeDocument/2006/relationships/hyperlink" Target="https://de.wikipedia.org/wiki/Eos_(Mythologie)" TargetMode="External"/><Relationship Id="rId65" Type="http://schemas.openxmlformats.org/officeDocument/2006/relationships/hyperlink" Target="https://de.wikipedia.org/wiki/Amor_(Mythologie)" TargetMode="External"/><Relationship Id="rId171" Type="http://schemas.openxmlformats.org/officeDocument/2006/relationships/hyperlink" Target="https://de.wikipedia.org/wiki/Merib-Baal" TargetMode="External"/><Relationship Id="rId68" Type="http://schemas.openxmlformats.org/officeDocument/2006/relationships/hyperlink" Target="https://de.wikipedia.org/wiki/Mars_(Mythologie)" TargetMode="External"/><Relationship Id="rId170" Type="http://schemas.openxmlformats.org/officeDocument/2006/relationships/hyperlink" Target="https://de.wikipedia.org/wiki/Maria_Magdalena" TargetMode="External"/><Relationship Id="rId67" Type="http://schemas.openxmlformats.org/officeDocument/2006/relationships/hyperlink" Target="https://de.wikipedia.org/wiki/Xanthippe" TargetMode="External"/><Relationship Id="rId60" Type="http://schemas.openxmlformats.org/officeDocument/2006/relationships/hyperlink" Target="https://de.wikipedia.org/wiki/Ester_(Bibel)" TargetMode="External"/><Relationship Id="rId165" Type="http://schemas.openxmlformats.org/officeDocument/2006/relationships/hyperlink" Target="https://hfls.ch/humo-gen/birthday_family/1/F108093" TargetMode="External"/><Relationship Id="rId69" Type="http://schemas.openxmlformats.org/officeDocument/2006/relationships/hyperlink" Target="https://de.wikipedia.org/wiki/Apollon" TargetMode="External"/><Relationship Id="rId164" Type="http://schemas.openxmlformats.org/officeDocument/2006/relationships/hyperlink" Target="https://hls-dhs-dss.ch/de/articles/015794" TargetMode="External"/><Relationship Id="rId163" Type="http://schemas.openxmlformats.org/officeDocument/2006/relationships/hyperlink" Target="https://de.wikipedia.org/wiki/Agapetos" TargetMode="External"/><Relationship Id="rId162" Type="http://schemas.openxmlformats.org/officeDocument/2006/relationships/hyperlink" Target="https://www.e-rara.ch/zuz/doi/10.3931/e-rara-12380" TargetMode="External"/><Relationship Id="rId169" Type="http://schemas.openxmlformats.org/officeDocument/2006/relationships/hyperlink" Target="https://hls-dhs-dss.ch/de/articles/023963" TargetMode="External"/><Relationship Id="rId168" Type="http://schemas.openxmlformats.org/officeDocument/2006/relationships/hyperlink" Target="https://de.wikipedia.org/wiki/Simeon_(Prophet)" TargetMode="External"/><Relationship Id="rId167" Type="http://schemas.openxmlformats.org/officeDocument/2006/relationships/hyperlink" Target="https://www.hfls.ch/humo-gen/family/1/F106407?main_person=I305724" TargetMode="External"/><Relationship Id="rId166" Type="http://schemas.openxmlformats.org/officeDocument/2006/relationships/hyperlink" Target="https://hfls.ch/humo-gen/birthday_family/1/F105238?main_person=I301701" TargetMode="External"/><Relationship Id="rId51" Type="http://schemas.openxmlformats.org/officeDocument/2006/relationships/hyperlink" Target="https://de.wikipedia.org/wiki/Pontius_Pilatus" TargetMode="External"/><Relationship Id="rId50" Type="http://schemas.openxmlformats.org/officeDocument/2006/relationships/hyperlink" Target="https://de.wikipedia.org/wiki/Nikodemus" TargetMode="External"/><Relationship Id="rId53" Type="http://schemas.openxmlformats.org/officeDocument/2006/relationships/hyperlink" Target="https://de.wikipedia.org/wiki/Simon_Petrus" TargetMode="External"/><Relationship Id="rId52" Type="http://schemas.openxmlformats.org/officeDocument/2006/relationships/hyperlink" Target="https://de.wikipedia.org/wiki/Titus" TargetMode="External"/><Relationship Id="rId55" Type="http://schemas.openxmlformats.org/officeDocument/2006/relationships/hyperlink" Target="https://de.wikipedia.org/wiki/Jona" TargetMode="External"/><Relationship Id="rId161" Type="http://schemas.openxmlformats.org/officeDocument/2006/relationships/hyperlink" Target="http://www.hfls.ch/humo-gen/family/1/F104225?main_person=I298575" TargetMode="External"/><Relationship Id="rId54" Type="http://schemas.openxmlformats.org/officeDocument/2006/relationships/hyperlink" Target="https://de.wikipedia.org/wiki/Johannes_(Apostel)" TargetMode="External"/><Relationship Id="rId160" Type="http://schemas.openxmlformats.org/officeDocument/2006/relationships/hyperlink" Target="https://de.wikipedia.org/wiki/Momos" TargetMode="External"/><Relationship Id="rId57" Type="http://schemas.openxmlformats.org/officeDocument/2006/relationships/hyperlink" Target="https://de.wikipedia.org/wiki/Abigajil" TargetMode="External"/><Relationship Id="rId56" Type="http://schemas.openxmlformats.org/officeDocument/2006/relationships/hyperlink" Target="https://de.wikipedia.org/wiki/Satan" TargetMode="External"/><Relationship Id="rId159" Type="http://schemas.openxmlformats.org/officeDocument/2006/relationships/hyperlink" Target="https://hls-dhs-dss.ch/de/articles/010844/2011-05-20/" TargetMode="External"/><Relationship Id="rId59" Type="http://schemas.openxmlformats.org/officeDocument/2006/relationships/hyperlink" Target="https://de.wikipedia.org/wiki/Susanna_im_Bade" TargetMode="External"/><Relationship Id="rId154" Type="http://schemas.openxmlformats.org/officeDocument/2006/relationships/hyperlink" Target="https://doi.org/10.3931/e-rara-24507" TargetMode="External"/><Relationship Id="rId58" Type="http://schemas.openxmlformats.org/officeDocument/2006/relationships/hyperlink" Target="https://de.wikipedia.org/wiki/Hanna_(Bibel)" TargetMode="External"/><Relationship Id="rId153" Type="http://schemas.openxmlformats.org/officeDocument/2006/relationships/hyperlink" Target="https://www.hfls.ch/humo-gen/family/1/F105643?main_person=I303467" TargetMode="External"/><Relationship Id="rId152" Type="http://schemas.openxmlformats.org/officeDocument/2006/relationships/hyperlink" Target="https://www.hfls.ch/humo-gen/family/1/F156270?main_person=I308929" TargetMode="External"/><Relationship Id="rId151" Type="http://schemas.openxmlformats.org/officeDocument/2006/relationships/hyperlink" Target="https://www.hfls.ch/humo-gen/family/1/F104436?main_person=I299208" TargetMode="External"/><Relationship Id="rId158" Type="http://schemas.openxmlformats.org/officeDocument/2006/relationships/hyperlink" Target="https://de.wikipedia.org/wiki/John_Dury" TargetMode="External"/><Relationship Id="rId157" Type="http://schemas.openxmlformats.org/officeDocument/2006/relationships/hyperlink" Target="https://de.wikipedia.org/wiki/Karl_I._Ludwig_(Pfalz)" TargetMode="External"/><Relationship Id="rId156" Type="http://schemas.openxmlformats.org/officeDocument/2006/relationships/hyperlink" Target="https://www.hfls.ch/humo-gen/family/1/F102360?main_person=I292993" TargetMode="External"/><Relationship Id="rId155" Type="http://schemas.openxmlformats.org/officeDocument/2006/relationships/hyperlink" Target="https://www.hfls.ch/humo-gen/family/1/F87624?main_person=I255356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earch.ortsnamen.ch/de/record/7001562/" TargetMode="External"/><Relationship Id="rId2" Type="http://schemas.openxmlformats.org/officeDocument/2006/relationships/drawing" Target="../drawings/drawing2.xml"/><Relationship Id="rId4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swisscollections.ch/Record/991043894759705501?sid=203216438" TargetMode="External"/><Relationship Id="rId22" Type="http://schemas.openxmlformats.org/officeDocument/2006/relationships/drawing" Target="../drawings/drawing3.xml"/><Relationship Id="rId21" Type="http://schemas.openxmlformats.org/officeDocument/2006/relationships/hyperlink" Target="https://www.deutschestextarchiv.de/book/show/weckherlin_gedichte_1641" TargetMode="External"/><Relationship Id="rId24" Type="http://schemas.openxmlformats.org/officeDocument/2006/relationships/table" Target="../tables/table3.xml"/><Relationship Id="rId11" Type="http://schemas.openxmlformats.org/officeDocument/2006/relationships/hyperlink" Target="https://doi.org/10.3931/e-rara-9901" TargetMode="External"/><Relationship Id="rId10" Type="http://schemas.openxmlformats.org/officeDocument/2006/relationships/hyperlink" Target="https://doi.org/10.3931/e-rara-80050" TargetMode="External"/><Relationship Id="rId13" Type="http://schemas.openxmlformats.org/officeDocument/2006/relationships/hyperlink" Target="https://doi.org/10.3931/e-rara-9832" TargetMode="External"/><Relationship Id="rId12" Type="http://schemas.openxmlformats.org/officeDocument/2006/relationships/hyperlink" Target="https://doi.org/10.3931/e-rara-78709" TargetMode="External"/><Relationship Id="rId15" Type="http://schemas.openxmlformats.org/officeDocument/2006/relationships/hyperlink" Target="https://doi.org/10.3931/e-rara-11497" TargetMode="External"/><Relationship Id="rId14" Type="http://schemas.openxmlformats.org/officeDocument/2006/relationships/hyperlink" Target="https://doi.org/10.3931/e-rara-10087" TargetMode="External"/><Relationship Id="rId17" Type="http://schemas.openxmlformats.org/officeDocument/2006/relationships/hyperlink" Target="https://doi.org/10.3931/e-rara-51775" TargetMode="External"/><Relationship Id="rId16" Type="http://schemas.openxmlformats.org/officeDocument/2006/relationships/hyperlink" Target="https://doi.org/10.3931/e-rara-79716" TargetMode="External"/><Relationship Id="rId19" Type="http://schemas.openxmlformats.org/officeDocument/2006/relationships/hyperlink" Target="https://doi.org/10.3931/e-rara-12361" TargetMode="External"/><Relationship Id="rId18" Type="http://schemas.openxmlformats.org/officeDocument/2006/relationships/hyperlink" Target="https://www.e-rara.ch/zuz/content/titleinfo/3198523" TargetMode="External"/><Relationship Id="rId1" Type="http://schemas.openxmlformats.org/officeDocument/2006/relationships/hyperlink" Target="https://www.e-rara.ch/zuz/doi/10.3931/e-rara-13309" TargetMode="External"/><Relationship Id="rId2" Type="http://schemas.openxmlformats.org/officeDocument/2006/relationships/hyperlink" Target="https://www.e-rara.ch/zuz/content/titleinfo/2617861" TargetMode="External"/><Relationship Id="rId3" Type="http://schemas.openxmlformats.org/officeDocument/2006/relationships/hyperlink" Target="https://doi.org/10.3931/e-rara-11967" TargetMode="External"/><Relationship Id="rId4" Type="http://schemas.openxmlformats.org/officeDocument/2006/relationships/hyperlink" Target="https://doi.org/10.3931/e-rara-24125" TargetMode="External"/><Relationship Id="rId9" Type="http://schemas.openxmlformats.org/officeDocument/2006/relationships/hyperlink" Target="https://doi.org/10.3931/e-rara-8695" TargetMode="External"/><Relationship Id="rId5" Type="http://schemas.openxmlformats.org/officeDocument/2006/relationships/hyperlink" Target="https://www.e-rara.ch/zuz/content/zoom/25183957" TargetMode="External"/><Relationship Id="rId6" Type="http://schemas.openxmlformats.org/officeDocument/2006/relationships/hyperlink" Target="https://doi.org/10.3931/e-rara-13175" TargetMode="External"/><Relationship Id="rId7" Type="http://schemas.openxmlformats.org/officeDocument/2006/relationships/hyperlink" Target="https://doi.org/10.3931/e-rara-10701" TargetMode="External"/><Relationship Id="rId8" Type="http://schemas.openxmlformats.org/officeDocument/2006/relationships/hyperlink" Target="https://doi.org/10.3931/e-rara-12387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igital.idiotikon.ch/idtkn/id6.htm" TargetMode="External"/><Relationship Id="rId2" Type="http://schemas.openxmlformats.org/officeDocument/2006/relationships/drawing" Target="../drawings/drawing5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75"/>
    <col customWidth="1" min="2" max="2" width="34.0"/>
    <col customWidth="1" min="3" max="3" width="28.75"/>
    <col customWidth="1" min="4" max="4" width="18.75"/>
    <col customWidth="1" min="5" max="5" width="11.5"/>
    <col customWidth="1" min="6" max="6" width="10.0"/>
    <col customWidth="1" min="7" max="7" width="36.75"/>
    <col customWidth="1" min="8" max="8" width="46.13"/>
    <col customWidth="1" min="9" max="9" width="22.13"/>
    <col customWidth="1" min="10" max="10" width="31.38"/>
    <col customWidth="1" min="11" max="11" width="20.13"/>
  </cols>
  <sheetData>
    <row r="1" ht="22.5" customHeight="1">
      <c r="A1" s="1" t="s">
        <v>2</v>
      </c>
      <c r="B1" s="2" t="s">
        <v>4</v>
      </c>
      <c r="C1" s="1" t="s">
        <v>6</v>
      </c>
      <c r="D1" s="1" t="s">
        <v>9</v>
      </c>
      <c r="E1" s="1" t="s">
        <v>13</v>
      </c>
      <c r="F1" s="1" t="s">
        <v>17</v>
      </c>
      <c r="G1" s="1" t="s">
        <v>12</v>
      </c>
      <c r="H1" s="1" t="s">
        <v>20</v>
      </c>
      <c r="I1" s="1" t="s">
        <v>18</v>
      </c>
      <c r="J1" s="1" t="s">
        <v>24</v>
      </c>
      <c r="K1" s="1" t="s">
        <v>16</v>
      </c>
    </row>
    <row r="2" ht="22.5" customHeight="1">
      <c r="A2" s="4" t="s">
        <v>25</v>
      </c>
      <c r="B2" s="14" t="str">
        <f t="shared" ref="B2:B290" si="1">CONCATENATE(IF(AND(ISBLANK(C2),ISBLANK(D2)),"",IF(ISBLANK(C2),D2,IF(ISBLANK(D2),C2,CONCATENATE(C2,", ",D2)))),IF(AND(ISBLANK(E2),ISBLANK(F2)),"",CONCATENATE(" (",IF(ISBLANK(E2),"?",E2),"-",IF(ISBLANK(F2),"?",F2),")")))</f>
        <v>Simler, Johann Wilhelm (1605-1672)</v>
      </c>
      <c r="C2" s="4" t="s">
        <v>35</v>
      </c>
      <c r="D2" s="8" t="s">
        <v>36</v>
      </c>
      <c r="E2" s="8">
        <v>1605.0</v>
      </c>
      <c r="F2" s="8">
        <v>1672.0</v>
      </c>
      <c r="G2" s="4" t="s">
        <v>38</v>
      </c>
      <c r="H2" s="15" t="s">
        <v>40</v>
      </c>
      <c r="I2" s="12" t="s">
        <v>42</v>
      </c>
      <c r="J2" s="16" t="s">
        <v>44</v>
      </c>
      <c r="K2" s="13"/>
    </row>
    <row r="3" ht="22.5" customHeight="1">
      <c r="A3" s="4" t="s">
        <v>58</v>
      </c>
      <c r="B3" s="14" t="str">
        <f t="shared" si="1"/>
        <v>Opitz, Martin (1597-1639)</v>
      </c>
      <c r="C3" s="4" t="s">
        <v>62</v>
      </c>
      <c r="D3" s="8" t="s">
        <v>64</v>
      </c>
      <c r="E3" s="8">
        <v>1597.0</v>
      </c>
      <c r="F3" s="8">
        <v>1639.0</v>
      </c>
      <c r="G3" s="4" t="s">
        <v>67</v>
      </c>
      <c r="H3" s="4" t="s">
        <v>69</v>
      </c>
      <c r="I3" s="12" t="s">
        <v>42</v>
      </c>
      <c r="J3" s="16" t="s">
        <v>72</v>
      </c>
      <c r="K3" s="13"/>
    </row>
    <row r="4" ht="22.5" customHeight="1">
      <c r="A4" s="4" t="s">
        <v>83</v>
      </c>
      <c r="B4" s="14" t="str">
        <f t="shared" si="1"/>
        <v>Buol, Meinrad (1588-1658)</v>
      </c>
      <c r="C4" s="4" t="s">
        <v>85</v>
      </c>
      <c r="D4" s="4" t="s">
        <v>86</v>
      </c>
      <c r="E4" s="8">
        <v>1588.0</v>
      </c>
      <c r="F4" s="8">
        <v>1658.0</v>
      </c>
      <c r="G4" s="4" t="s">
        <v>89</v>
      </c>
      <c r="H4" s="4" t="s">
        <v>91</v>
      </c>
      <c r="I4" s="12" t="s">
        <v>42</v>
      </c>
      <c r="J4" s="16" t="s">
        <v>93</v>
      </c>
      <c r="K4" s="13"/>
    </row>
    <row r="5" ht="22.5" customHeight="1">
      <c r="A5" s="4" t="s">
        <v>102</v>
      </c>
      <c r="B5" s="14" t="str">
        <f t="shared" si="1"/>
        <v>Bodmer, Johann Jakob (1617-1676)</v>
      </c>
      <c r="C5" s="4" t="s">
        <v>104</v>
      </c>
      <c r="D5" s="4" t="s">
        <v>107</v>
      </c>
      <c r="E5" s="8">
        <v>1617.0</v>
      </c>
      <c r="F5" s="8">
        <v>1676.0</v>
      </c>
      <c r="G5" s="4" t="s">
        <v>111</v>
      </c>
      <c r="H5" s="4" t="s">
        <v>113</v>
      </c>
      <c r="I5" s="12" t="s">
        <v>42</v>
      </c>
      <c r="J5" s="16" t="s">
        <v>116</v>
      </c>
      <c r="K5" s="13"/>
    </row>
    <row r="6" ht="22.5" customHeight="1">
      <c r="A6" s="4" t="s">
        <v>125</v>
      </c>
      <c r="B6" s="14" t="str">
        <f t="shared" si="1"/>
        <v>Escher, Heinrich (1626-1710)</v>
      </c>
      <c r="C6" s="4" t="s">
        <v>127</v>
      </c>
      <c r="D6" s="4" t="s">
        <v>130</v>
      </c>
      <c r="E6" s="8">
        <v>1626.0</v>
      </c>
      <c r="F6" s="8">
        <v>1710.0</v>
      </c>
      <c r="G6" s="4" t="s">
        <v>133</v>
      </c>
      <c r="H6" s="15" t="s">
        <v>134</v>
      </c>
      <c r="I6" s="12" t="s">
        <v>42</v>
      </c>
      <c r="J6" s="16" t="s">
        <v>135</v>
      </c>
      <c r="K6" s="13"/>
    </row>
    <row r="7" ht="22.5" customHeight="1">
      <c r="A7" s="4" t="s">
        <v>141</v>
      </c>
      <c r="B7" s="14" t="str">
        <f t="shared" si="1"/>
        <v>Hottinger, Johann Heinrich (1620-1667)</v>
      </c>
      <c r="C7" s="4" t="s">
        <v>144</v>
      </c>
      <c r="D7" s="4" t="s">
        <v>145</v>
      </c>
      <c r="E7" s="8">
        <v>1620.0</v>
      </c>
      <c r="F7" s="8">
        <v>1667.0</v>
      </c>
      <c r="G7" s="15" t="s">
        <v>149</v>
      </c>
      <c r="H7" s="4" t="s">
        <v>151</v>
      </c>
      <c r="I7" s="12" t="s">
        <v>42</v>
      </c>
      <c r="J7" s="16" t="s">
        <v>153</v>
      </c>
      <c r="K7" s="13"/>
    </row>
    <row r="8" ht="22.5" customHeight="1">
      <c r="A8" s="4" t="s">
        <v>159</v>
      </c>
      <c r="B8" s="14" t="str">
        <f t="shared" si="1"/>
        <v>Landolt, Matthias (1591-1671)</v>
      </c>
      <c r="C8" s="4" t="s">
        <v>162</v>
      </c>
      <c r="D8" s="4" t="s">
        <v>163</v>
      </c>
      <c r="E8" s="8">
        <v>1591.0</v>
      </c>
      <c r="F8" s="8">
        <v>1671.0</v>
      </c>
      <c r="G8" s="4" t="s">
        <v>166</v>
      </c>
      <c r="H8" s="15" t="s">
        <v>167</v>
      </c>
      <c r="I8" s="12" t="s">
        <v>42</v>
      </c>
      <c r="J8" s="21" t="s">
        <v>169</v>
      </c>
      <c r="K8" s="13"/>
    </row>
    <row r="9" ht="22.5" customHeight="1">
      <c r="A9" s="4" t="s">
        <v>181</v>
      </c>
      <c r="B9" s="14" t="str">
        <f t="shared" si="1"/>
        <v>Meyer, Conrad (1618-1689)</v>
      </c>
      <c r="C9" s="4" t="s">
        <v>184</v>
      </c>
      <c r="D9" s="4" t="s">
        <v>186</v>
      </c>
      <c r="E9" s="26" t="s">
        <v>188</v>
      </c>
      <c r="F9" s="26" t="s">
        <v>191</v>
      </c>
      <c r="G9" s="4" t="s">
        <v>192</v>
      </c>
      <c r="H9" s="4" t="s">
        <v>193</v>
      </c>
      <c r="I9" s="12" t="s">
        <v>42</v>
      </c>
      <c r="J9" s="16" t="s">
        <v>194</v>
      </c>
      <c r="K9" s="13"/>
    </row>
    <row r="10" ht="22.5" customHeight="1">
      <c r="A10" s="4" t="s">
        <v>201</v>
      </c>
      <c r="B10" s="14" t="str">
        <f t="shared" si="1"/>
        <v>Müller, Georg (1610-1672)</v>
      </c>
      <c r="C10" s="4" t="s">
        <v>202</v>
      </c>
      <c r="D10" s="4" t="s">
        <v>204</v>
      </c>
      <c r="E10" s="26" t="s">
        <v>206</v>
      </c>
      <c r="F10" s="26" t="s">
        <v>207</v>
      </c>
      <c r="G10" s="4" t="s">
        <v>209</v>
      </c>
      <c r="H10" s="4" t="s">
        <v>210</v>
      </c>
      <c r="I10" s="12" t="s">
        <v>42</v>
      </c>
      <c r="J10" s="29" t="s">
        <v>212</v>
      </c>
      <c r="K10" s="13"/>
    </row>
    <row r="11" ht="22.5" customHeight="1">
      <c r="A11" s="4" t="s">
        <v>218</v>
      </c>
      <c r="B11" s="14" t="str">
        <f t="shared" si="1"/>
        <v>Rahn, Hans Heinrich (1593-1669)</v>
      </c>
      <c r="C11" s="4" t="s">
        <v>221</v>
      </c>
      <c r="D11" s="4" t="s">
        <v>223</v>
      </c>
      <c r="E11" s="26">
        <v>1593.0</v>
      </c>
      <c r="F11" s="26">
        <v>1669.0</v>
      </c>
      <c r="G11" s="4" t="s">
        <v>227</v>
      </c>
      <c r="H11" s="15" t="s">
        <v>229</v>
      </c>
      <c r="I11" s="12" t="s">
        <v>42</v>
      </c>
      <c r="J11" s="21" t="s">
        <v>230</v>
      </c>
      <c r="K11" s="13"/>
    </row>
    <row r="12" ht="22.5" customHeight="1">
      <c r="A12" s="4" t="s">
        <v>237</v>
      </c>
      <c r="B12" s="14" t="str">
        <f t="shared" si="1"/>
        <v>Schulthess, Hans Heinrich (1594-1652)</v>
      </c>
      <c r="C12" s="4" t="s">
        <v>239</v>
      </c>
      <c r="D12" s="4" t="s">
        <v>223</v>
      </c>
      <c r="E12" s="26" t="s">
        <v>240</v>
      </c>
      <c r="F12" s="26" t="s">
        <v>241</v>
      </c>
      <c r="G12" s="4" t="s">
        <v>243</v>
      </c>
      <c r="H12" s="15" t="s">
        <v>244</v>
      </c>
      <c r="I12" s="12" t="s">
        <v>42</v>
      </c>
      <c r="J12" s="16" t="s">
        <v>246</v>
      </c>
      <c r="K12" s="13"/>
    </row>
    <row r="13" ht="22.5" customHeight="1">
      <c r="A13" s="4" t="s">
        <v>253</v>
      </c>
      <c r="B13" s="14" t="str">
        <f t="shared" si="1"/>
        <v>Schwilge, Andreas (1608-1688)</v>
      </c>
      <c r="C13" s="4" t="s">
        <v>256</v>
      </c>
      <c r="D13" s="4" t="s">
        <v>257</v>
      </c>
      <c r="E13" s="26" t="s">
        <v>259</v>
      </c>
      <c r="F13" s="26" t="s">
        <v>260</v>
      </c>
      <c r="G13" s="4" t="s">
        <v>262</v>
      </c>
      <c r="H13" s="4" t="s">
        <v>263</v>
      </c>
      <c r="I13" s="12" t="s">
        <v>42</v>
      </c>
      <c r="J13" s="16" t="s">
        <v>264</v>
      </c>
      <c r="K13" s="13"/>
    </row>
    <row r="14" ht="22.5" customHeight="1">
      <c r="A14" s="4" t="s">
        <v>269</v>
      </c>
      <c r="B14" s="14" t="str">
        <f t="shared" si="1"/>
        <v>Wyss, Felix (1596-1666)</v>
      </c>
      <c r="C14" s="4" t="s">
        <v>270</v>
      </c>
      <c r="D14" s="4" t="s">
        <v>272</v>
      </c>
      <c r="E14" s="26">
        <v>1596.0</v>
      </c>
      <c r="F14" s="26">
        <v>1666.0</v>
      </c>
      <c r="G14" s="4" t="s">
        <v>274</v>
      </c>
      <c r="H14" s="4" t="s">
        <v>275</v>
      </c>
      <c r="I14" s="12" t="s">
        <v>42</v>
      </c>
      <c r="J14" s="16" t="s">
        <v>277</v>
      </c>
      <c r="K14" s="13"/>
    </row>
    <row r="15" ht="22.5" customHeight="1">
      <c r="A15" s="4" t="s">
        <v>283</v>
      </c>
      <c r="B15" s="14" t="str">
        <f t="shared" si="1"/>
        <v>Leuen/Lewe/Leu, Hans Jacob (1592-1660)</v>
      </c>
      <c r="C15" s="31" t="s">
        <v>284</v>
      </c>
      <c r="D15" s="4" t="s">
        <v>287</v>
      </c>
      <c r="E15" s="8">
        <v>1592.0</v>
      </c>
      <c r="F15" s="8">
        <v>1660.0</v>
      </c>
      <c r="G15" s="32"/>
      <c r="H15" s="4" t="s">
        <v>291</v>
      </c>
      <c r="I15" s="12" t="s">
        <v>42</v>
      </c>
      <c r="J15" s="16" t="s">
        <v>293</v>
      </c>
      <c r="K15" s="13"/>
    </row>
    <row r="16" ht="22.5" customHeight="1">
      <c r="A16" s="4" t="s">
        <v>299</v>
      </c>
      <c r="B16" s="14" t="str">
        <f t="shared" si="1"/>
        <v>Berger, Hans (1596-1656)</v>
      </c>
      <c r="C16" s="4" t="s">
        <v>301</v>
      </c>
      <c r="D16" s="4" t="s">
        <v>302</v>
      </c>
      <c r="E16" s="8">
        <v>1596.0</v>
      </c>
      <c r="F16" s="8">
        <v>1656.0</v>
      </c>
      <c r="G16" s="4" t="s">
        <v>303</v>
      </c>
      <c r="H16" s="4" t="s">
        <v>305</v>
      </c>
      <c r="I16" s="12" t="s">
        <v>42</v>
      </c>
      <c r="J16" s="21" t="s">
        <v>307</v>
      </c>
      <c r="K16" s="13"/>
    </row>
    <row r="17" ht="22.5" customHeight="1">
      <c r="A17" s="4" t="s">
        <v>317</v>
      </c>
      <c r="B17" s="14" t="str">
        <f t="shared" si="1"/>
        <v>Müller, Hans Heinrich (1605-1664)</v>
      </c>
      <c r="C17" s="4" t="s">
        <v>202</v>
      </c>
      <c r="D17" s="4" t="s">
        <v>223</v>
      </c>
      <c r="E17" s="8">
        <v>1605.0</v>
      </c>
      <c r="F17" s="8">
        <v>1664.0</v>
      </c>
      <c r="G17" s="4" t="s">
        <v>320</v>
      </c>
      <c r="H17" s="15" t="s">
        <v>322</v>
      </c>
      <c r="I17" s="12" t="s">
        <v>42</v>
      </c>
      <c r="J17" s="16" t="s">
        <v>326</v>
      </c>
      <c r="K17" s="13"/>
    </row>
    <row r="18" ht="22.5" customHeight="1">
      <c r="A18" s="4" t="s">
        <v>329</v>
      </c>
      <c r="B18" s="14" t="str">
        <f t="shared" si="1"/>
        <v>Wirz, Johann (1591-1658)</v>
      </c>
      <c r="C18" s="4" t="s">
        <v>332</v>
      </c>
      <c r="D18" s="4" t="s">
        <v>333</v>
      </c>
      <c r="E18" s="8">
        <v>1591.0</v>
      </c>
      <c r="F18" s="8">
        <v>1658.0</v>
      </c>
      <c r="G18" s="4" t="s">
        <v>336</v>
      </c>
      <c r="H18" s="15" t="s">
        <v>338</v>
      </c>
      <c r="I18" s="12" t="s">
        <v>42</v>
      </c>
      <c r="J18" s="15" t="s">
        <v>339</v>
      </c>
      <c r="K18" s="13"/>
    </row>
    <row r="19" ht="22.5" customHeight="1">
      <c r="A19" s="4" t="s">
        <v>346</v>
      </c>
      <c r="B19" s="14" t="str">
        <f t="shared" si="1"/>
        <v>Hoffmeister, Johann Rudolph (1615-1684)</v>
      </c>
      <c r="C19" s="4" t="s">
        <v>348</v>
      </c>
      <c r="D19" s="4" t="s">
        <v>350</v>
      </c>
      <c r="E19" s="8">
        <v>1615.0</v>
      </c>
      <c r="F19" s="8">
        <v>1684.0</v>
      </c>
      <c r="G19" s="4" t="s">
        <v>354</v>
      </c>
      <c r="H19" s="15" t="s">
        <v>356</v>
      </c>
      <c r="I19" s="12" t="s">
        <v>42</v>
      </c>
      <c r="J19" s="29" t="s">
        <v>357</v>
      </c>
      <c r="K19" s="13"/>
    </row>
    <row r="20" ht="22.5" customHeight="1">
      <c r="A20" s="4" t="s">
        <v>363</v>
      </c>
      <c r="B20" s="14" t="str">
        <f t="shared" si="1"/>
        <v>Redinger, Johann Jakob (1619-1688)</v>
      </c>
      <c r="C20" s="4" t="s">
        <v>365</v>
      </c>
      <c r="D20" s="4" t="s">
        <v>107</v>
      </c>
      <c r="E20" s="8">
        <v>1619.0</v>
      </c>
      <c r="F20" s="8">
        <v>1688.0</v>
      </c>
      <c r="G20" s="4" t="s">
        <v>369</v>
      </c>
      <c r="H20" s="15" t="s">
        <v>371</v>
      </c>
      <c r="I20" s="12" t="s">
        <v>42</v>
      </c>
      <c r="J20" s="29" t="s">
        <v>372</v>
      </c>
      <c r="K20" s="13"/>
    </row>
    <row r="21" ht="22.5" customHeight="1">
      <c r="A21" s="4" t="s">
        <v>374</v>
      </c>
      <c r="B21" s="14" t="str">
        <f t="shared" si="1"/>
        <v>Blass, Johannes (1621-1671)</v>
      </c>
      <c r="C21" s="4" t="s">
        <v>377</v>
      </c>
      <c r="D21" s="4" t="s">
        <v>378</v>
      </c>
      <c r="E21" s="8">
        <v>1621.0</v>
      </c>
      <c r="F21" s="8">
        <v>1671.0</v>
      </c>
      <c r="G21" s="4" t="s">
        <v>380</v>
      </c>
      <c r="H21" s="4" t="s">
        <v>381</v>
      </c>
      <c r="I21" s="12" t="s">
        <v>42</v>
      </c>
      <c r="J21" s="35" t="s">
        <v>382</v>
      </c>
      <c r="K21" s="13"/>
    </row>
    <row r="22" ht="22.5" customHeight="1">
      <c r="A22" s="4" t="s">
        <v>385</v>
      </c>
      <c r="B22" s="14" t="str">
        <f t="shared" si="1"/>
        <v>Rhagor, Daniel (1577-1648)</v>
      </c>
      <c r="C22" s="4" t="s">
        <v>388</v>
      </c>
      <c r="D22" s="4" t="s">
        <v>389</v>
      </c>
      <c r="E22" s="8">
        <v>1577.0</v>
      </c>
      <c r="F22" s="8">
        <v>1648.0</v>
      </c>
      <c r="G22" s="4" t="s">
        <v>390</v>
      </c>
      <c r="H22" s="15" t="s">
        <v>392</v>
      </c>
      <c r="I22" s="12" t="s">
        <v>42</v>
      </c>
      <c r="J22" s="21" t="s">
        <v>395</v>
      </c>
      <c r="K22" s="13"/>
    </row>
    <row r="23" ht="22.5" customHeight="1">
      <c r="A23" s="4" t="s">
        <v>400</v>
      </c>
      <c r="B23" s="14" t="str">
        <f t="shared" si="1"/>
        <v>Falk von Traubenberg, Ehrenhold</v>
      </c>
      <c r="C23" s="4" t="s">
        <v>402</v>
      </c>
      <c r="D23" s="4" t="s">
        <v>404</v>
      </c>
      <c r="E23" s="8"/>
      <c r="F23" s="8"/>
      <c r="G23" s="13"/>
      <c r="H23" s="4" t="s">
        <v>407</v>
      </c>
      <c r="I23" s="18"/>
      <c r="J23" s="13"/>
      <c r="K23" s="13"/>
    </row>
    <row r="24" ht="22.5" customHeight="1">
      <c r="A24" s="4" t="s">
        <v>411</v>
      </c>
      <c r="B24" s="14" t="str">
        <f t="shared" si="1"/>
        <v>Simler, Rudolf (1568-1611)</v>
      </c>
      <c r="C24" s="4" t="s">
        <v>35</v>
      </c>
      <c r="D24" s="15" t="s">
        <v>412</v>
      </c>
      <c r="E24" s="8">
        <v>1568.0</v>
      </c>
      <c r="F24" s="8">
        <v>1611.0</v>
      </c>
      <c r="G24" s="4" t="s">
        <v>414</v>
      </c>
      <c r="H24" s="4" t="s">
        <v>416</v>
      </c>
      <c r="I24" s="12" t="s">
        <v>42</v>
      </c>
      <c r="J24" s="16" t="s">
        <v>418</v>
      </c>
      <c r="K24" s="13"/>
    </row>
    <row r="25" ht="22.5" customHeight="1">
      <c r="A25" s="4" t="s">
        <v>425</v>
      </c>
      <c r="B25" s="14" t="str">
        <f t="shared" si="1"/>
        <v>Bärholz, Daniel (1641-1688)</v>
      </c>
      <c r="C25" s="4" t="s">
        <v>427</v>
      </c>
      <c r="D25" s="15" t="s">
        <v>389</v>
      </c>
      <c r="E25" s="8">
        <v>1641.0</v>
      </c>
      <c r="F25" s="8">
        <v>1688.0</v>
      </c>
      <c r="G25" s="4" t="s">
        <v>432</v>
      </c>
      <c r="H25" s="15" t="s">
        <v>433</v>
      </c>
      <c r="I25" s="12" t="s">
        <v>42</v>
      </c>
      <c r="J25" s="16" t="s">
        <v>435</v>
      </c>
      <c r="K25" s="13"/>
    </row>
    <row r="26" ht="22.5" customHeight="1">
      <c r="A26" s="4" t="s">
        <v>440</v>
      </c>
      <c r="B26" s="14" t="str">
        <f t="shared" si="1"/>
        <v>Veiras, Hans Franz (1576-1672)</v>
      </c>
      <c r="C26" s="4" t="s">
        <v>442</v>
      </c>
      <c r="D26" s="15" t="s">
        <v>443</v>
      </c>
      <c r="E26" s="8">
        <v>1576.0</v>
      </c>
      <c r="F26" s="8">
        <v>1672.0</v>
      </c>
      <c r="G26" s="4" t="s">
        <v>446</v>
      </c>
      <c r="H26" s="4" t="s">
        <v>447</v>
      </c>
      <c r="I26" s="12" t="s">
        <v>42</v>
      </c>
      <c r="J26" s="16" t="s">
        <v>448</v>
      </c>
      <c r="K26" s="13"/>
    </row>
    <row r="27" ht="22.5" customHeight="1">
      <c r="A27" s="4" t="s">
        <v>454</v>
      </c>
      <c r="B27" s="14" t="str">
        <f t="shared" si="1"/>
        <v>Vergilius Maro, Publius (70 v. Chr.-19 v. Chr.)</v>
      </c>
      <c r="C27" s="4" t="s">
        <v>456</v>
      </c>
      <c r="D27" s="15" t="s">
        <v>457</v>
      </c>
      <c r="E27" s="8" t="s">
        <v>458</v>
      </c>
      <c r="F27" s="8" t="s">
        <v>459</v>
      </c>
      <c r="G27" s="4" t="s">
        <v>461</v>
      </c>
      <c r="H27" s="4" t="s">
        <v>462</v>
      </c>
      <c r="I27" s="12" t="s">
        <v>42</v>
      </c>
      <c r="J27" s="16" t="s">
        <v>465</v>
      </c>
      <c r="K27" s="13"/>
    </row>
    <row r="28" ht="22.5" customHeight="1">
      <c r="A28" s="4" t="s">
        <v>469</v>
      </c>
      <c r="B28" s="14" t="str">
        <f t="shared" si="1"/>
        <v>Buchner, August (1591-1661)</v>
      </c>
      <c r="C28" s="4" t="s">
        <v>472</v>
      </c>
      <c r="D28" s="4" t="s">
        <v>473</v>
      </c>
      <c r="E28" s="8">
        <v>1591.0</v>
      </c>
      <c r="F28" s="8">
        <v>1661.0</v>
      </c>
      <c r="G28" s="4" t="s">
        <v>475</v>
      </c>
      <c r="H28" s="4" t="s">
        <v>476</v>
      </c>
      <c r="I28" s="12" t="s">
        <v>42</v>
      </c>
      <c r="J28" s="21" t="s">
        <v>477</v>
      </c>
      <c r="K28" s="13"/>
    </row>
    <row r="29" ht="22.5" customHeight="1">
      <c r="A29" s="4" t="s">
        <v>483</v>
      </c>
      <c r="B29" s="14" t="str">
        <f t="shared" si="1"/>
        <v>Venator, Balthasar (1594-1664)</v>
      </c>
      <c r="C29" s="4" t="s">
        <v>485</v>
      </c>
      <c r="D29" s="4" t="s">
        <v>486</v>
      </c>
      <c r="E29" s="8">
        <v>1594.0</v>
      </c>
      <c r="F29" s="8">
        <v>1664.0</v>
      </c>
      <c r="G29" s="4" t="s">
        <v>489</v>
      </c>
      <c r="H29" s="4" t="s">
        <v>490</v>
      </c>
      <c r="I29" s="12" t="s">
        <v>42</v>
      </c>
      <c r="J29" s="16" t="s">
        <v>491</v>
      </c>
      <c r="K29" s="13"/>
    </row>
    <row r="30" ht="22.5" customHeight="1">
      <c r="A30" s="4" t="s">
        <v>497</v>
      </c>
      <c r="B30" s="14" t="str">
        <f t="shared" si="1"/>
        <v>Nüssler, Bernhard Wilhem  (1597/1598-1643)</v>
      </c>
      <c r="C30" s="4" t="s">
        <v>498</v>
      </c>
      <c r="D30" s="4" t="s">
        <v>499</v>
      </c>
      <c r="E30" s="8" t="s">
        <v>500</v>
      </c>
      <c r="F30" s="8">
        <v>1643.0</v>
      </c>
      <c r="G30" s="4" t="s">
        <v>502</v>
      </c>
      <c r="H30" s="4" t="s">
        <v>504</v>
      </c>
      <c r="I30" s="12" t="s">
        <v>42</v>
      </c>
      <c r="J30" s="16" t="s">
        <v>505</v>
      </c>
      <c r="K30" s="13"/>
    </row>
    <row r="31" ht="22.5" customHeight="1">
      <c r="A31" s="4" t="s">
        <v>511</v>
      </c>
      <c r="B31" s="14" t="str">
        <f t="shared" si="1"/>
        <v>Weckherlin, Georg Rudolf (1584-1653)</v>
      </c>
      <c r="C31" s="4" t="s">
        <v>513</v>
      </c>
      <c r="D31" s="4" t="s">
        <v>514</v>
      </c>
      <c r="E31" s="8">
        <v>1584.0</v>
      </c>
      <c r="F31" s="8">
        <v>1653.0</v>
      </c>
      <c r="G31" s="4" t="s">
        <v>516</v>
      </c>
      <c r="H31" s="4" t="s">
        <v>517</v>
      </c>
      <c r="I31" s="12" t="s">
        <v>42</v>
      </c>
      <c r="J31" s="21" t="s">
        <v>519</v>
      </c>
      <c r="K31" s="13"/>
    </row>
    <row r="32" ht="22.5" customHeight="1">
      <c r="A32" s="4" t="s">
        <v>524</v>
      </c>
      <c r="B32" s="14" t="str">
        <f t="shared" si="1"/>
        <v>Hübner, Tobias (1578-1636)</v>
      </c>
      <c r="C32" s="4" t="s">
        <v>525</v>
      </c>
      <c r="D32" s="4" t="s">
        <v>527</v>
      </c>
      <c r="E32" s="8">
        <v>1578.0</v>
      </c>
      <c r="F32" s="8">
        <v>1636.0</v>
      </c>
      <c r="G32" s="4" t="s">
        <v>529</v>
      </c>
      <c r="H32" s="4" t="s">
        <v>530</v>
      </c>
      <c r="I32" s="12" t="s">
        <v>42</v>
      </c>
      <c r="J32" s="4" t="s">
        <v>531</v>
      </c>
      <c r="K32" s="13"/>
    </row>
    <row r="33" ht="22.5" customHeight="1">
      <c r="A33" s="4" t="s">
        <v>534</v>
      </c>
      <c r="B33" s="14" t="str">
        <f t="shared" si="1"/>
        <v>Du Bartas, Guillaume de Salluste (1544-1590)</v>
      </c>
      <c r="C33" s="4" t="s">
        <v>536</v>
      </c>
      <c r="D33" s="4" t="s">
        <v>538</v>
      </c>
      <c r="E33" s="8">
        <v>1544.0</v>
      </c>
      <c r="F33" s="8">
        <v>1590.0</v>
      </c>
      <c r="G33" s="4" t="s">
        <v>541</v>
      </c>
      <c r="H33" s="4" t="s">
        <v>542</v>
      </c>
      <c r="I33" s="12" t="s">
        <v>42</v>
      </c>
      <c r="J33" s="16" t="s">
        <v>544</v>
      </c>
      <c r="K33" s="13"/>
    </row>
    <row r="34" ht="22.5" customHeight="1">
      <c r="A34" s="4" t="s">
        <v>549</v>
      </c>
      <c r="B34" s="14" t="str">
        <f t="shared" si="1"/>
        <v>Gamon, Christophe de (1574-1621)</v>
      </c>
      <c r="C34" s="4" t="s">
        <v>550</v>
      </c>
      <c r="D34" s="4" t="s">
        <v>551</v>
      </c>
      <c r="E34" s="8">
        <v>1574.0</v>
      </c>
      <c r="F34" s="8">
        <v>1621.0</v>
      </c>
      <c r="G34" s="4" t="s">
        <v>552</v>
      </c>
      <c r="H34" s="4" t="s">
        <v>542</v>
      </c>
      <c r="I34" s="12" t="s">
        <v>42</v>
      </c>
      <c r="J34" s="13"/>
      <c r="K34" s="13"/>
    </row>
    <row r="35" ht="22.5" customHeight="1">
      <c r="A35" s="4" t="s">
        <v>555</v>
      </c>
      <c r="B35" s="14" t="str">
        <f t="shared" si="1"/>
        <v>Werder, Diederich von dem (1584-1657)</v>
      </c>
      <c r="C35" s="4" t="s">
        <v>557</v>
      </c>
      <c r="D35" s="4" t="s">
        <v>558</v>
      </c>
      <c r="E35" s="8">
        <v>1584.0</v>
      </c>
      <c r="F35" s="8">
        <v>1657.0</v>
      </c>
      <c r="G35" s="4" t="s">
        <v>559</v>
      </c>
      <c r="H35" s="4" t="s">
        <v>562</v>
      </c>
      <c r="I35" s="12" t="s">
        <v>42</v>
      </c>
      <c r="J35" s="16" t="s">
        <v>565</v>
      </c>
      <c r="K35" s="13"/>
    </row>
    <row r="36" ht="22.5" customHeight="1">
      <c r="A36" s="4" t="s">
        <v>569</v>
      </c>
      <c r="B36" s="14" t="str">
        <f t="shared" si="1"/>
        <v>Lund, Zacharias (1608-1667)</v>
      </c>
      <c r="C36" s="4" t="s">
        <v>571</v>
      </c>
      <c r="D36" s="4" t="s">
        <v>573</v>
      </c>
      <c r="E36" s="8">
        <v>1608.0</v>
      </c>
      <c r="F36" s="8">
        <v>1667.0</v>
      </c>
      <c r="G36" s="4" t="s">
        <v>575</v>
      </c>
      <c r="H36" s="4" t="s">
        <v>576</v>
      </c>
      <c r="I36" s="12" t="s">
        <v>42</v>
      </c>
      <c r="J36" s="21" t="s">
        <v>578</v>
      </c>
      <c r="K36" s="13"/>
    </row>
    <row r="37" ht="22.5" customHeight="1">
      <c r="A37" s="4" t="s">
        <v>582</v>
      </c>
      <c r="B37" s="14" t="str">
        <f t="shared" si="1"/>
        <v>Rist, Johann (1607-1667)</v>
      </c>
      <c r="C37" s="4" t="s">
        <v>584</v>
      </c>
      <c r="D37" s="4" t="s">
        <v>333</v>
      </c>
      <c r="E37" s="8">
        <v>1607.0</v>
      </c>
      <c r="F37" s="8">
        <v>1667.0</v>
      </c>
      <c r="G37" s="4" t="s">
        <v>586</v>
      </c>
      <c r="H37" s="4" t="s">
        <v>587</v>
      </c>
      <c r="I37" s="12" t="s">
        <v>42</v>
      </c>
      <c r="J37" s="16" t="s">
        <v>589</v>
      </c>
      <c r="K37" s="13"/>
    </row>
    <row r="38" ht="22.5" customHeight="1">
      <c r="A38" s="4" t="s">
        <v>593</v>
      </c>
      <c r="B38" s="14" t="str">
        <f t="shared" si="1"/>
        <v>Steffen, Hans Jakob (1623-1684)</v>
      </c>
      <c r="C38" s="4" t="s">
        <v>596</v>
      </c>
      <c r="D38" s="15" t="s">
        <v>597</v>
      </c>
      <c r="E38" s="8">
        <v>1623.0</v>
      </c>
      <c r="F38" s="8">
        <v>1684.0</v>
      </c>
      <c r="G38" s="4" t="s">
        <v>599</v>
      </c>
      <c r="H38" s="15" t="s">
        <v>600</v>
      </c>
      <c r="I38" s="12" t="s">
        <v>42</v>
      </c>
      <c r="J38" s="13"/>
      <c r="K38" s="13"/>
    </row>
    <row r="39" ht="22.5" customHeight="1">
      <c r="A39" s="4" t="s">
        <v>606</v>
      </c>
      <c r="B39" s="14" t="str">
        <f t="shared" si="1"/>
        <v>Amman, Johann Ulrich  (1633-1680)</v>
      </c>
      <c r="C39" s="4" t="s">
        <v>608</v>
      </c>
      <c r="D39" s="4" t="s">
        <v>609</v>
      </c>
      <c r="E39" s="8">
        <v>1633.0</v>
      </c>
      <c r="F39" s="8">
        <v>1680.0</v>
      </c>
      <c r="G39" s="4" t="s">
        <v>611</v>
      </c>
      <c r="H39" s="4" t="s">
        <v>613</v>
      </c>
      <c r="I39" s="12" t="s">
        <v>42</v>
      </c>
      <c r="J39" s="4" t="s">
        <v>616</v>
      </c>
      <c r="K39" s="13"/>
    </row>
    <row r="40" ht="22.5" customHeight="1">
      <c r="A40" s="4" t="s">
        <v>619</v>
      </c>
      <c r="B40" s="14" t="str">
        <f t="shared" si="1"/>
        <v>Venus</v>
      </c>
      <c r="C40" s="4" t="s">
        <v>621</v>
      </c>
      <c r="D40" s="4"/>
      <c r="E40" s="8"/>
      <c r="F40" s="8"/>
      <c r="G40" s="4" t="s">
        <v>623</v>
      </c>
      <c r="H40" s="4" t="s">
        <v>624</v>
      </c>
      <c r="I40" s="12" t="s">
        <v>626</v>
      </c>
      <c r="J40" s="16" t="s">
        <v>627</v>
      </c>
      <c r="K40" s="13"/>
    </row>
    <row r="41" ht="22.5" customHeight="1">
      <c r="A41" s="4" t="s">
        <v>633</v>
      </c>
      <c r="B41" s="14" t="str">
        <f t="shared" si="1"/>
        <v>Cupido</v>
      </c>
      <c r="C41" s="7" t="s">
        <v>636</v>
      </c>
      <c r="D41" s="4"/>
      <c r="E41" s="8"/>
      <c r="F41" s="8"/>
      <c r="G41" s="4" t="s">
        <v>641</v>
      </c>
      <c r="H41" s="4" t="s">
        <v>642</v>
      </c>
      <c r="I41" s="12" t="s">
        <v>626</v>
      </c>
      <c r="J41" s="37" t="s">
        <v>644</v>
      </c>
      <c r="K41" s="4" t="s">
        <v>647</v>
      </c>
    </row>
    <row r="42" ht="22.5" customHeight="1">
      <c r="A42" s="4" t="s">
        <v>651</v>
      </c>
      <c r="B42" s="14" t="str">
        <f t="shared" si="1"/>
        <v>Xerxes I. (519 v. Chr.-465 v. Chr.)</v>
      </c>
      <c r="C42" s="4" t="s">
        <v>655</v>
      </c>
      <c r="D42" s="4"/>
      <c r="E42" s="8" t="s">
        <v>658</v>
      </c>
      <c r="F42" s="8" t="s">
        <v>659</v>
      </c>
      <c r="G42" s="4" t="s">
        <v>661</v>
      </c>
      <c r="H42" s="4" t="s">
        <v>662</v>
      </c>
      <c r="I42" s="12" t="s">
        <v>42</v>
      </c>
      <c r="J42" s="16" t="s">
        <v>663</v>
      </c>
      <c r="K42" s="13"/>
    </row>
    <row r="43" ht="22.5" customHeight="1">
      <c r="A43" s="4" t="s">
        <v>668</v>
      </c>
      <c r="B43" s="14" t="str">
        <f t="shared" si="1"/>
        <v>Paulus von Tarsus</v>
      </c>
      <c r="C43" s="4" t="s">
        <v>670</v>
      </c>
      <c r="D43" s="4"/>
      <c r="E43" s="8"/>
      <c r="F43" s="8"/>
      <c r="G43" s="4" t="s">
        <v>674</v>
      </c>
      <c r="H43" s="4" t="s">
        <v>678</v>
      </c>
      <c r="I43" s="12" t="s">
        <v>679</v>
      </c>
      <c r="J43" s="16" t="s">
        <v>680</v>
      </c>
      <c r="K43" s="13"/>
    </row>
    <row r="44" ht="22.5" customHeight="1">
      <c r="A44" s="4" t="s">
        <v>686</v>
      </c>
      <c r="B44" s="14" t="str">
        <f t="shared" si="1"/>
        <v>Phöbus</v>
      </c>
      <c r="C44" s="7" t="s">
        <v>689</v>
      </c>
      <c r="D44" s="4"/>
      <c r="E44" s="8"/>
      <c r="F44" s="8"/>
      <c r="G44" s="13"/>
      <c r="H44" s="4" t="s">
        <v>692</v>
      </c>
      <c r="I44" s="12" t="s">
        <v>626</v>
      </c>
      <c r="J44" s="13"/>
      <c r="K44" s="4" t="s">
        <v>693</v>
      </c>
    </row>
    <row r="45" ht="22.5" customHeight="1">
      <c r="A45" s="4" t="s">
        <v>696</v>
      </c>
      <c r="B45" s="14" t="str">
        <f t="shared" si="1"/>
        <v>Neidhart</v>
      </c>
      <c r="C45" s="15" t="s">
        <v>698</v>
      </c>
      <c r="D45" s="15"/>
      <c r="E45" s="27"/>
      <c r="F45" s="27"/>
      <c r="G45" s="15"/>
      <c r="H45" s="15" t="s">
        <v>701</v>
      </c>
      <c r="I45" s="12"/>
      <c r="J45" s="16" t="s">
        <v>703</v>
      </c>
      <c r="K45" s="13"/>
    </row>
    <row r="46" ht="22.5" customHeight="1">
      <c r="A46" s="4" t="s">
        <v>707</v>
      </c>
      <c r="B46" s="14" t="str">
        <f t="shared" si="1"/>
        <v>Pegasos</v>
      </c>
      <c r="C46" s="4" t="s">
        <v>712</v>
      </c>
      <c r="D46" s="4"/>
      <c r="E46" s="8"/>
      <c r="F46" s="8"/>
      <c r="G46" s="4" t="s">
        <v>715</v>
      </c>
      <c r="H46" s="4" t="s">
        <v>716</v>
      </c>
      <c r="I46" s="12" t="s">
        <v>626</v>
      </c>
      <c r="J46" s="16" t="s">
        <v>717</v>
      </c>
      <c r="K46" s="13"/>
    </row>
    <row r="47" ht="22.5" customHeight="1">
      <c r="A47" s="4" t="s">
        <v>721</v>
      </c>
      <c r="B47" s="14" t="str">
        <f t="shared" si="1"/>
        <v>David</v>
      </c>
      <c r="C47" s="4" t="s">
        <v>722</v>
      </c>
      <c r="D47" s="4"/>
      <c r="E47" s="8"/>
      <c r="F47" s="8"/>
      <c r="G47" s="4" t="s">
        <v>724</v>
      </c>
      <c r="H47" s="4" t="s">
        <v>726</v>
      </c>
      <c r="I47" s="12" t="s">
        <v>679</v>
      </c>
      <c r="J47" s="16" t="s">
        <v>727</v>
      </c>
      <c r="K47" s="13"/>
    </row>
    <row r="48" ht="22.5" customHeight="1">
      <c r="A48" s="4" t="s">
        <v>732</v>
      </c>
      <c r="B48" s="14" t="str">
        <f t="shared" si="1"/>
        <v>Fama</v>
      </c>
      <c r="C48" s="4" t="s">
        <v>735</v>
      </c>
      <c r="D48" s="4"/>
      <c r="E48" s="8"/>
      <c r="F48" s="8"/>
      <c r="G48" s="4" t="s">
        <v>738</v>
      </c>
      <c r="H48" s="4" t="s">
        <v>740</v>
      </c>
      <c r="I48" s="12" t="s">
        <v>626</v>
      </c>
      <c r="J48" s="13"/>
      <c r="K48" s="13"/>
    </row>
    <row r="49" ht="22.5" customHeight="1">
      <c r="A49" s="4" t="s">
        <v>741</v>
      </c>
      <c r="B49" s="14" t="str">
        <f t="shared" si="1"/>
        <v>Tasso, Torquato (1544-1595)</v>
      </c>
      <c r="C49" s="4" t="s">
        <v>742</v>
      </c>
      <c r="D49" s="4" t="s">
        <v>743</v>
      </c>
      <c r="E49" s="8">
        <v>1544.0</v>
      </c>
      <c r="F49" s="8">
        <v>1595.0</v>
      </c>
      <c r="G49" s="4" t="s">
        <v>745</v>
      </c>
      <c r="H49" s="4" t="s">
        <v>747</v>
      </c>
      <c r="I49" s="12" t="s">
        <v>42</v>
      </c>
      <c r="J49" s="16" t="s">
        <v>748</v>
      </c>
      <c r="K49" s="13"/>
    </row>
    <row r="50" ht="22.5" customHeight="1">
      <c r="A50" s="4" t="s">
        <v>750</v>
      </c>
      <c r="B50" s="14" t="str">
        <f t="shared" si="1"/>
        <v>Saul</v>
      </c>
      <c r="C50" s="4" t="s">
        <v>752</v>
      </c>
      <c r="D50" s="4"/>
      <c r="E50" s="8"/>
      <c r="F50" s="8"/>
      <c r="G50" s="4" t="s">
        <v>753</v>
      </c>
      <c r="H50" s="4" t="s">
        <v>755</v>
      </c>
      <c r="I50" s="12" t="s">
        <v>679</v>
      </c>
      <c r="J50" s="16" t="s">
        <v>756</v>
      </c>
      <c r="K50" s="13"/>
    </row>
    <row r="51" ht="22.5" customHeight="1">
      <c r="A51" s="4" t="s">
        <v>759</v>
      </c>
      <c r="B51" s="14" t="str">
        <f t="shared" si="1"/>
        <v>Abschalom</v>
      </c>
      <c r="C51" s="4" t="s">
        <v>760</v>
      </c>
      <c r="D51" s="4"/>
      <c r="E51" s="8"/>
      <c r="F51" s="8"/>
      <c r="G51" s="4" t="s">
        <v>762</v>
      </c>
      <c r="H51" s="4" t="s">
        <v>763</v>
      </c>
      <c r="I51" s="12" t="s">
        <v>679</v>
      </c>
      <c r="J51" s="16" t="s">
        <v>764</v>
      </c>
      <c r="K51" s="13"/>
    </row>
    <row r="52" ht="22.5" customHeight="1">
      <c r="A52" s="4" t="s">
        <v>767</v>
      </c>
      <c r="B52" s="14" t="str">
        <f t="shared" si="1"/>
        <v>Achisch</v>
      </c>
      <c r="C52" s="4" t="s">
        <v>769</v>
      </c>
      <c r="D52" s="4"/>
      <c r="E52" s="8"/>
      <c r="F52" s="8"/>
      <c r="G52" s="4" t="s">
        <v>771</v>
      </c>
      <c r="H52" s="4" t="s">
        <v>772</v>
      </c>
      <c r="I52" s="12" t="s">
        <v>679</v>
      </c>
      <c r="J52" s="4"/>
      <c r="K52" s="13"/>
    </row>
    <row r="53" ht="22.5" customHeight="1">
      <c r="A53" s="4" t="s">
        <v>774</v>
      </c>
      <c r="B53" s="14" t="str">
        <f t="shared" si="1"/>
        <v>Abraham</v>
      </c>
      <c r="C53" s="4" t="s">
        <v>776</v>
      </c>
      <c r="D53" s="4"/>
      <c r="E53" s="8"/>
      <c r="F53" s="8"/>
      <c r="G53" s="4" t="s">
        <v>778</v>
      </c>
      <c r="H53" s="4" t="s">
        <v>779</v>
      </c>
      <c r="I53" s="12" t="s">
        <v>679</v>
      </c>
      <c r="J53" s="16" t="s">
        <v>780</v>
      </c>
      <c r="K53" s="13"/>
    </row>
    <row r="54" ht="22.5" customHeight="1">
      <c r="A54" s="4" t="s">
        <v>784</v>
      </c>
      <c r="B54" s="14" t="str">
        <f t="shared" si="1"/>
        <v>Aaron</v>
      </c>
      <c r="C54" s="4" t="s">
        <v>786</v>
      </c>
      <c r="D54" s="4"/>
      <c r="E54" s="8"/>
      <c r="F54" s="8"/>
      <c r="G54" s="4" t="s">
        <v>787</v>
      </c>
      <c r="H54" s="4" t="s">
        <v>789</v>
      </c>
      <c r="I54" s="12" t="s">
        <v>679</v>
      </c>
      <c r="J54" s="21" t="s">
        <v>790</v>
      </c>
      <c r="K54" s="13"/>
    </row>
    <row r="55" ht="22.5" customHeight="1">
      <c r="A55" s="4" t="s">
        <v>794</v>
      </c>
      <c r="B55" s="14" t="str">
        <f t="shared" si="1"/>
        <v>Asaf</v>
      </c>
      <c r="C55" s="4" t="s">
        <v>795</v>
      </c>
      <c r="D55" s="4"/>
      <c r="E55" s="8"/>
      <c r="F55" s="8"/>
      <c r="G55" s="4" t="s">
        <v>796</v>
      </c>
      <c r="H55" s="4" t="s">
        <v>798</v>
      </c>
      <c r="I55" s="12" t="s">
        <v>679</v>
      </c>
      <c r="J55" s="21" t="s">
        <v>801</v>
      </c>
      <c r="K55" s="13"/>
    </row>
    <row r="56" ht="22.5" customHeight="1">
      <c r="A56" s="4" t="s">
        <v>803</v>
      </c>
      <c r="B56" s="14" t="str">
        <f t="shared" si="1"/>
        <v>Doëg</v>
      </c>
      <c r="C56" s="4" t="s">
        <v>806</v>
      </c>
      <c r="D56" s="4"/>
      <c r="E56" s="8"/>
      <c r="F56" s="8"/>
      <c r="G56" s="4" t="s">
        <v>807</v>
      </c>
      <c r="H56" s="4" t="s">
        <v>809</v>
      </c>
      <c r="I56" s="12" t="s">
        <v>679</v>
      </c>
      <c r="J56" s="4" t="s">
        <v>810</v>
      </c>
      <c r="K56" s="13"/>
    </row>
    <row r="57" ht="22.5" customHeight="1">
      <c r="A57" s="4" t="s">
        <v>813</v>
      </c>
      <c r="B57" s="14" t="str">
        <f t="shared" si="1"/>
        <v>Hiskija</v>
      </c>
      <c r="C57" s="4" t="s">
        <v>814</v>
      </c>
      <c r="D57" s="4"/>
      <c r="E57" s="8"/>
      <c r="F57" s="8"/>
      <c r="G57" s="15" t="s">
        <v>815</v>
      </c>
      <c r="H57" s="4" t="s">
        <v>816</v>
      </c>
      <c r="I57" s="12" t="s">
        <v>679</v>
      </c>
      <c r="J57" s="16" t="s">
        <v>818</v>
      </c>
      <c r="K57" s="13"/>
    </row>
    <row r="58" ht="22.5" customHeight="1">
      <c r="A58" s="4" t="s">
        <v>821</v>
      </c>
      <c r="B58" s="14" t="str">
        <f t="shared" si="1"/>
        <v>Jakob</v>
      </c>
      <c r="C58" s="4" t="s">
        <v>823</v>
      </c>
      <c r="D58" s="4"/>
      <c r="E58" s="8"/>
      <c r="F58" s="8"/>
      <c r="G58" s="4" t="s">
        <v>825</v>
      </c>
      <c r="H58" s="4" t="s">
        <v>826</v>
      </c>
      <c r="I58" s="12" t="s">
        <v>679</v>
      </c>
      <c r="J58" s="4" t="s">
        <v>827</v>
      </c>
      <c r="K58" s="13"/>
    </row>
    <row r="59" ht="22.5" customHeight="1">
      <c r="A59" s="4" t="s">
        <v>829</v>
      </c>
      <c r="B59" s="14" t="str">
        <f t="shared" si="1"/>
        <v>Adam</v>
      </c>
      <c r="C59" s="4" t="s">
        <v>831</v>
      </c>
      <c r="D59" s="4"/>
      <c r="E59" s="8"/>
      <c r="F59" s="8"/>
      <c r="G59" s="4" t="s">
        <v>833</v>
      </c>
      <c r="H59" s="4" t="s">
        <v>834</v>
      </c>
      <c r="I59" s="12" t="s">
        <v>679</v>
      </c>
      <c r="J59" s="16" t="s">
        <v>835</v>
      </c>
      <c r="K59" s="13"/>
    </row>
    <row r="60" ht="22.5" customHeight="1">
      <c r="A60" s="4" t="s">
        <v>839</v>
      </c>
      <c r="B60" s="14" t="str">
        <f t="shared" si="1"/>
        <v>Eva</v>
      </c>
      <c r="C60" s="4" t="s">
        <v>840</v>
      </c>
      <c r="D60" s="4"/>
      <c r="E60" s="8"/>
      <c r="F60" s="8"/>
      <c r="G60" s="4" t="s">
        <v>842</v>
      </c>
      <c r="H60" s="4" t="s">
        <v>844</v>
      </c>
      <c r="I60" s="12" t="s">
        <v>679</v>
      </c>
      <c r="J60" s="16" t="s">
        <v>835</v>
      </c>
      <c r="K60" s="13"/>
    </row>
    <row r="61" ht="22.5" customHeight="1">
      <c r="A61" s="4" t="s">
        <v>846</v>
      </c>
      <c r="B61" s="14" t="str">
        <f t="shared" si="1"/>
        <v>Barabbas</v>
      </c>
      <c r="C61" s="4" t="s">
        <v>849</v>
      </c>
      <c r="D61" s="4"/>
      <c r="E61" s="8"/>
      <c r="F61" s="8"/>
      <c r="G61" s="4" t="s">
        <v>850</v>
      </c>
      <c r="H61" s="4" t="s">
        <v>851</v>
      </c>
      <c r="I61" s="12" t="s">
        <v>679</v>
      </c>
      <c r="J61" s="21" t="s">
        <v>852</v>
      </c>
      <c r="K61" s="13"/>
    </row>
    <row r="62" ht="22.5" customHeight="1">
      <c r="A62" s="4" t="s">
        <v>856</v>
      </c>
      <c r="B62" s="14" t="str">
        <f t="shared" si="1"/>
        <v>Kajafas</v>
      </c>
      <c r="C62" s="4" t="s">
        <v>858</v>
      </c>
      <c r="D62" s="4"/>
      <c r="E62" s="8"/>
      <c r="F62" s="8"/>
      <c r="G62" s="4" t="s">
        <v>859</v>
      </c>
      <c r="H62" s="4" t="s">
        <v>860</v>
      </c>
      <c r="I62" s="12" t="s">
        <v>679</v>
      </c>
      <c r="J62" s="16" t="s">
        <v>861</v>
      </c>
      <c r="K62" s="13"/>
    </row>
    <row r="63" ht="22.5" customHeight="1">
      <c r="A63" s="4" t="s">
        <v>864</v>
      </c>
      <c r="B63" s="14" t="str">
        <f t="shared" si="1"/>
        <v>Judas Iskariot</v>
      </c>
      <c r="C63" s="4" t="s">
        <v>865</v>
      </c>
      <c r="D63" s="4"/>
      <c r="E63" s="8"/>
      <c r="F63" s="8"/>
      <c r="G63" s="4" t="s">
        <v>866</v>
      </c>
      <c r="H63" s="4" t="s">
        <v>867</v>
      </c>
      <c r="I63" s="12" t="s">
        <v>679</v>
      </c>
      <c r="J63" s="16" t="s">
        <v>868</v>
      </c>
      <c r="K63" s="13"/>
    </row>
    <row r="64" ht="22.5" customHeight="1">
      <c r="A64" s="4" t="s">
        <v>871</v>
      </c>
      <c r="B64" s="14" t="str">
        <f t="shared" si="1"/>
        <v>Gabriel</v>
      </c>
      <c r="C64" s="4" t="s">
        <v>872</v>
      </c>
      <c r="D64" s="4"/>
      <c r="E64" s="8"/>
      <c r="F64" s="8"/>
      <c r="G64" s="4" t="s">
        <v>874</v>
      </c>
      <c r="H64" s="4" t="s">
        <v>876</v>
      </c>
      <c r="I64" s="12" t="s">
        <v>679</v>
      </c>
      <c r="J64" s="16" t="s">
        <v>877</v>
      </c>
      <c r="K64" s="13"/>
    </row>
    <row r="65" ht="22.5" customHeight="1">
      <c r="A65" s="4" t="s">
        <v>879</v>
      </c>
      <c r="B65" s="14" t="str">
        <f t="shared" si="1"/>
        <v>Herodes I.</v>
      </c>
      <c r="C65" s="4" t="s">
        <v>881</v>
      </c>
      <c r="D65" s="4"/>
      <c r="E65" s="8"/>
      <c r="F65" s="8"/>
      <c r="G65" s="4" t="s">
        <v>882</v>
      </c>
      <c r="H65" s="4" t="s">
        <v>883</v>
      </c>
      <c r="I65" s="12" t="s">
        <v>679</v>
      </c>
      <c r="J65" s="16" t="s">
        <v>884</v>
      </c>
      <c r="K65" s="13"/>
    </row>
    <row r="66" ht="22.5" customHeight="1">
      <c r="A66" s="4" t="s">
        <v>887</v>
      </c>
      <c r="B66" s="14" t="str">
        <f t="shared" si="1"/>
        <v>Nikodemus</v>
      </c>
      <c r="C66" s="4" t="s">
        <v>888</v>
      </c>
      <c r="D66" s="4"/>
      <c r="E66" s="8"/>
      <c r="F66" s="8"/>
      <c r="G66" s="4" t="s">
        <v>890</v>
      </c>
      <c r="H66" s="4" t="s">
        <v>891</v>
      </c>
      <c r="I66" s="12" t="s">
        <v>679</v>
      </c>
      <c r="J66" s="16" t="s">
        <v>893</v>
      </c>
      <c r="K66" s="13"/>
    </row>
    <row r="67" ht="22.5" customHeight="1">
      <c r="A67" s="4" t="s">
        <v>895</v>
      </c>
      <c r="B67" s="14" t="str">
        <f t="shared" si="1"/>
        <v>Pilatus, Pontius</v>
      </c>
      <c r="C67" s="4" t="s">
        <v>898</v>
      </c>
      <c r="D67" s="4" t="s">
        <v>899</v>
      </c>
      <c r="E67" s="8"/>
      <c r="F67" s="8"/>
      <c r="G67" s="4" t="s">
        <v>901</v>
      </c>
      <c r="H67" s="4" t="s">
        <v>903</v>
      </c>
      <c r="I67" s="12" t="s">
        <v>679</v>
      </c>
      <c r="J67" s="16" t="s">
        <v>904</v>
      </c>
      <c r="K67" s="13"/>
    </row>
    <row r="68" ht="22.5" customHeight="1">
      <c r="A68" s="4" t="s">
        <v>907</v>
      </c>
      <c r="B68" s="14" t="str">
        <f t="shared" si="1"/>
        <v>Titus (39 n. Chr.-81 n. Chr.)</v>
      </c>
      <c r="C68" s="4" t="s">
        <v>908</v>
      </c>
      <c r="D68" s="4"/>
      <c r="E68" s="8" t="s">
        <v>909</v>
      </c>
      <c r="F68" s="8" t="s">
        <v>910</v>
      </c>
      <c r="G68" s="4" t="s">
        <v>911</v>
      </c>
      <c r="H68" s="4" t="s">
        <v>912</v>
      </c>
      <c r="I68" s="12" t="s">
        <v>42</v>
      </c>
      <c r="J68" s="16" t="s">
        <v>913</v>
      </c>
      <c r="K68" s="13"/>
    </row>
    <row r="69" ht="22.5" customHeight="1">
      <c r="A69" s="4" t="s">
        <v>915</v>
      </c>
      <c r="B69" s="14" t="str">
        <f t="shared" si="1"/>
        <v>Simon Petrus</v>
      </c>
      <c r="C69" s="4" t="s">
        <v>917</v>
      </c>
      <c r="D69" s="4"/>
      <c r="E69" s="8"/>
      <c r="F69" s="8"/>
      <c r="G69" s="4" t="s">
        <v>919</v>
      </c>
      <c r="H69" s="4" t="s">
        <v>867</v>
      </c>
      <c r="I69" s="12" t="s">
        <v>679</v>
      </c>
      <c r="J69" s="16" t="s">
        <v>920</v>
      </c>
      <c r="K69" s="13"/>
    </row>
    <row r="70" ht="22.5" customHeight="1">
      <c r="A70" s="4" t="s">
        <v>922</v>
      </c>
      <c r="B70" s="14" t="str">
        <f t="shared" si="1"/>
        <v>Johannes</v>
      </c>
      <c r="C70" s="4" t="s">
        <v>378</v>
      </c>
      <c r="D70" s="4"/>
      <c r="E70" s="8"/>
      <c r="F70" s="8"/>
      <c r="G70" s="4" t="s">
        <v>925</v>
      </c>
      <c r="H70" s="4" t="s">
        <v>926</v>
      </c>
      <c r="I70" s="12" t="s">
        <v>679</v>
      </c>
      <c r="J70" s="16" t="s">
        <v>928</v>
      </c>
      <c r="K70" s="13"/>
    </row>
    <row r="71" ht="22.5" customHeight="1">
      <c r="A71" s="4" t="s">
        <v>929</v>
      </c>
      <c r="B71" s="14" t="str">
        <f t="shared" si="1"/>
        <v>Jakobus der Ältere</v>
      </c>
      <c r="C71" s="4" t="s">
        <v>931</v>
      </c>
      <c r="D71" s="4"/>
      <c r="E71" s="8"/>
      <c r="F71" s="8"/>
      <c r="G71" s="4" t="s">
        <v>933</v>
      </c>
      <c r="H71" s="4" t="s">
        <v>934</v>
      </c>
      <c r="I71" s="12" t="s">
        <v>679</v>
      </c>
      <c r="J71" s="4" t="s">
        <v>827</v>
      </c>
      <c r="K71" s="13"/>
    </row>
    <row r="72" ht="22.5" customHeight="1">
      <c r="A72" s="4" t="s">
        <v>935</v>
      </c>
      <c r="B72" s="14" t="str">
        <f t="shared" si="1"/>
        <v>Jona</v>
      </c>
      <c r="C72" s="4" t="s">
        <v>936</v>
      </c>
      <c r="D72" s="4"/>
      <c r="E72" s="8"/>
      <c r="F72" s="8"/>
      <c r="G72" s="4" t="s">
        <v>937</v>
      </c>
      <c r="H72" s="4" t="s">
        <v>938</v>
      </c>
      <c r="I72" s="12" t="s">
        <v>679</v>
      </c>
      <c r="J72" s="21" t="s">
        <v>940</v>
      </c>
      <c r="K72" s="13"/>
    </row>
    <row r="73" ht="22.5" customHeight="1">
      <c r="A73" s="4" t="s">
        <v>942</v>
      </c>
      <c r="B73" s="14" t="str">
        <f t="shared" si="1"/>
        <v>Joseph</v>
      </c>
      <c r="C73" s="4" t="s">
        <v>943</v>
      </c>
      <c r="D73" s="4"/>
      <c r="E73" s="8"/>
      <c r="F73" s="8"/>
      <c r="G73" s="4" t="s">
        <v>944</v>
      </c>
      <c r="H73" s="4" t="s">
        <v>945</v>
      </c>
      <c r="I73" s="12" t="s">
        <v>679</v>
      </c>
      <c r="J73" s="13"/>
      <c r="K73" s="13"/>
    </row>
    <row r="74" ht="22.5" customHeight="1">
      <c r="A74" s="4" t="s">
        <v>948</v>
      </c>
      <c r="B74" s="14" t="str">
        <f t="shared" si="1"/>
        <v>Satan</v>
      </c>
      <c r="C74" s="4" t="s">
        <v>949</v>
      </c>
      <c r="D74" s="4"/>
      <c r="E74" s="8"/>
      <c r="F74" s="8"/>
      <c r="G74" s="4" t="s">
        <v>950</v>
      </c>
      <c r="H74" s="4" t="s">
        <v>679</v>
      </c>
      <c r="I74" s="12" t="s">
        <v>679</v>
      </c>
      <c r="J74" s="16" t="s">
        <v>951</v>
      </c>
      <c r="K74" s="13"/>
    </row>
    <row r="75" ht="22.5" customHeight="1">
      <c r="A75" s="4" t="s">
        <v>953</v>
      </c>
      <c r="B75" s="14" t="str">
        <f t="shared" si="1"/>
        <v>Abigajil</v>
      </c>
      <c r="C75" s="4" t="s">
        <v>955</v>
      </c>
      <c r="D75" s="4"/>
      <c r="E75" s="8"/>
      <c r="F75" s="8"/>
      <c r="G75" s="4" t="s">
        <v>956</v>
      </c>
      <c r="H75" s="4" t="s">
        <v>957</v>
      </c>
      <c r="I75" s="12" t="s">
        <v>679</v>
      </c>
      <c r="J75" s="21" t="s">
        <v>958</v>
      </c>
      <c r="K75" s="13"/>
    </row>
    <row r="76" ht="22.5" customHeight="1">
      <c r="A76" s="4" t="s">
        <v>960</v>
      </c>
      <c r="B76" s="14" t="str">
        <f t="shared" si="1"/>
        <v>Hanna</v>
      </c>
      <c r="C76" s="4" t="s">
        <v>962</v>
      </c>
      <c r="D76" s="4"/>
      <c r="E76" s="8"/>
      <c r="F76" s="8"/>
      <c r="G76" s="4" t="s">
        <v>963</v>
      </c>
      <c r="H76" s="4" t="s">
        <v>964</v>
      </c>
      <c r="I76" s="12" t="s">
        <v>679</v>
      </c>
      <c r="J76" s="21" t="s">
        <v>965</v>
      </c>
      <c r="K76" s="13"/>
    </row>
    <row r="77" ht="22.5" customHeight="1">
      <c r="A77" s="4" t="s">
        <v>966</v>
      </c>
      <c r="B77" s="14" t="str">
        <f t="shared" si="1"/>
        <v>Susanna</v>
      </c>
      <c r="C77" s="4" t="s">
        <v>968</v>
      </c>
      <c r="D77" s="4"/>
      <c r="E77" s="8"/>
      <c r="F77" s="8"/>
      <c r="G77" s="4" t="s">
        <v>970</v>
      </c>
      <c r="H77" s="4" t="s">
        <v>971</v>
      </c>
      <c r="I77" s="12" t="s">
        <v>679</v>
      </c>
      <c r="J77" s="37" t="s">
        <v>972</v>
      </c>
      <c r="K77" s="13"/>
    </row>
    <row r="78" ht="22.5" customHeight="1">
      <c r="A78" s="4" t="s">
        <v>973</v>
      </c>
      <c r="B78" s="14" t="str">
        <f t="shared" si="1"/>
        <v>Ester</v>
      </c>
      <c r="C78" s="4" t="s">
        <v>974</v>
      </c>
      <c r="D78" s="4"/>
      <c r="E78" s="8"/>
      <c r="F78" s="8"/>
      <c r="G78" s="4" t="s">
        <v>976</v>
      </c>
      <c r="H78" s="4" t="s">
        <v>977</v>
      </c>
      <c r="I78" s="12" t="s">
        <v>679</v>
      </c>
      <c r="J78" s="16" t="s">
        <v>978</v>
      </c>
      <c r="K78" s="13"/>
    </row>
    <row r="79" ht="22.5" customHeight="1">
      <c r="A79" s="4" t="s">
        <v>981</v>
      </c>
      <c r="B79" s="14" t="str">
        <f t="shared" si="1"/>
        <v>Tobias</v>
      </c>
      <c r="C79" s="4" t="s">
        <v>527</v>
      </c>
      <c r="D79" s="4"/>
      <c r="E79" s="8"/>
      <c r="F79" s="8"/>
      <c r="G79" s="4" t="s">
        <v>982</v>
      </c>
      <c r="H79" s="4" t="s">
        <v>983</v>
      </c>
      <c r="I79" s="12" t="s">
        <v>679</v>
      </c>
      <c r="J79" s="21" t="s">
        <v>985</v>
      </c>
      <c r="K79" s="13"/>
    </row>
    <row r="80" ht="22.5" customHeight="1">
      <c r="A80" s="4" t="s">
        <v>986</v>
      </c>
      <c r="B80" s="14" t="str">
        <f t="shared" si="1"/>
        <v>Asarias</v>
      </c>
      <c r="C80" s="4" t="s">
        <v>987</v>
      </c>
      <c r="D80" s="4"/>
      <c r="E80" s="8"/>
      <c r="F80" s="8"/>
      <c r="G80" s="4" t="s">
        <v>988</v>
      </c>
      <c r="H80" s="4" t="s">
        <v>989</v>
      </c>
      <c r="I80" s="12" t="s">
        <v>679</v>
      </c>
      <c r="J80" s="16" t="s">
        <v>990</v>
      </c>
      <c r="K80" s="13"/>
    </row>
    <row r="81" ht="22.5" customHeight="1">
      <c r="A81" s="4" t="s">
        <v>992</v>
      </c>
      <c r="B81" s="14" t="str">
        <f t="shared" si="1"/>
        <v>Boreas</v>
      </c>
      <c r="C81" s="4" t="s">
        <v>993</v>
      </c>
      <c r="D81" s="4"/>
      <c r="E81" s="8"/>
      <c r="F81" s="8"/>
      <c r="G81" s="4" t="s">
        <v>994</v>
      </c>
      <c r="H81" s="4" t="s">
        <v>995</v>
      </c>
      <c r="I81" s="12" t="s">
        <v>626</v>
      </c>
      <c r="J81" s="16" t="s">
        <v>996</v>
      </c>
      <c r="K81" s="13"/>
    </row>
    <row r="82" ht="22.5" customHeight="1">
      <c r="A82" s="4" t="s">
        <v>998</v>
      </c>
      <c r="B82" s="14" t="str">
        <f t="shared" si="1"/>
        <v>Ceres</v>
      </c>
      <c r="C82" s="4" t="s">
        <v>999</v>
      </c>
      <c r="D82" s="4"/>
      <c r="E82" s="8"/>
      <c r="F82" s="8"/>
      <c r="G82" s="4" t="s">
        <v>1000</v>
      </c>
      <c r="H82" s="4" t="s">
        <v>1001</v>
      </c>
      <c r="I82" s="12" t="s">
        <v>626</v>
      </c>
      <c r="J82" s="21" t="s">
        <v>1002</v>
      </c>
      <c r="K82" s="13"/>
    </row>
    <row r="83" ht="22.5" customHeight="1">
      <c r="A83" s="4" t="s">
        <v>1003</v>
      </c>
      <c r="B83" s="14" t="str">
        <f t="shared" si="1"/>
        <v>Amor</v>
      </c>
      <c r="C83" s="7" t="s">
        <v>1005</v>
      </c>
      <c r="D83" s="4"/>
      <c r="E83" s="8"/>
      <c r="F83" s="8"/>
      <c r="G83" s="4" t="s">
        <v>1006</v>
      </c>
      <c r="H83" s="4" t="s">
        <v>1007</v>
      </c>
      <c r="I83" s="12" t="s">
        <v>626</v>
      </c>
      <c r="J83" s="16" t="s">
        <v>644</v>
      </c>
      <c r="K83" s="4" t="s">
        <v>1008</v>
      </c>
    </row>
    <row r="84" ht="22.5" customHeight="1">
      <c r="A84" s="4" t="s">
        <v>1009</v>
      </c>
      <c r="B84" s="14" t="str">
        <f t="shared" si="1"/>
        <v>Socrates (469 v. Chr.-399 v. Chr.)</v>
      </c>
      <c r="C84" s="4" t="s">
        <v>1010</v>
      </c>
      <c r="D84" s="4"/>
      <c r="E84" s="8" t="s">
        <v>1012</v>
      </c>
      <c r="F84" s="8" t="s">
        <v>1013</v>
      </c>
      <c r="G84" s="4" t="s">
        <v>1014</v>
      </c>
      <c r="H84" s="4" t="s">
        <v>1015</v>
      </c>
      <c r="I84" s="12" t="s">
        <v>42</v>
      </c>
      <c r="J84" s="16" t="s">
        <v>1016</v>
      </c>
      <c r="K84" s="13"/>
    </row>
    <row r="85" ht="22.5" customHeight="1">
      <c r="A85" s="4" t="s">
        <v>1017</v>
      </c>
      <c r="B85" s="14" t="str">
        <f t="shared" si="1"/>
        <v>Xanthippe</v>
      </c>
      <c r="C85" s="4" t="s">
        <v>1018</v>
      </c>
      <c r="D85" s="4"/>
      <c r="E85" s="8"/>
      <c r="F85" s="8"/>
      <c r="G85" s="4" t="s">
        <v>1020</v>
      </c>
      <c r="H85" s="4" t="s">
        <v>1021</v>
      </c>
      <c r="I85" s="12" t="s">
        <v>42</v>
      </c>
      <c r="J85" s="21" t="s">
        <v>1022</v>
      </c>
      <c r="K85" s="13"/>
    </row>
    <row r="86" ht="22.5" customHeight="1">
      <c r="A86" s="4" t="s">
        <v>1023</v>
      </c>
      <c r="B86" s="14" t="str">
        <f t="shared" si="1"/>
        <v>Mars</v>
      </c>
      <c r="C86" s="4" t="s">
        <v>1024</v>
      </c>
      <c r="D86" s="4"/>
      <c r="E86" s="8"/>
      <c r="F86" s="8"/>
      <c r="G86" s="4" t="s">
        <v>1026</v>
      </c>
      <c r="H86" s="4" t="s">
        <v>1027</v>
      </c>
      <c r="I86" s="12" t="s">
        <v>626</v>
      </c>
      <c r="J86" s="16" t="s">
        <v>1028</v>
      </c>
      <c r="K86" s="13"/>
    </row>
    <row r="87" ht="22.5" customHeight="1">
      <c r="A87" s="4" t="s">
        <v>1029</v>
      </c>
      <c r="B87" s="14" t="str">
        <f t="shared" si="1"/>
        <v>Apollon</v>
      </c>
      <c r="C87" s="7" t="s">
        <v>1030</v>
      </c>
      <c r="D87" s="4"/>
      <c r="E87" s="8"/>
      <c r="F87" s="8"/>
      <c r="G87" s="4" t="s">
        <v>1031</v>
      </c>
      <c r="H87" s="4" t="s">
        <v>1032</v>
      </c>
      <c r="I87" s="12" t="s">
        <v>626</v>
      </c>
      <c r="J87" s="21" t="s">
        <v>1034</v>
      </c>
      <c r="K87" s="4" t="s">
        <v>1035</v>
      </c>
    </row>
    <row r="88" ht="22.5" customHeight="1">
      <c r="A88" s="4" t="s">
        <v>1036</v>
      </c>
      <c r="B88" s="14" t="str">
        <f t="shared" si="1"/>
        <v>Sirius</v>
      </c>
      <c r="C88" s="7" t="s">
        <v>1037</v>
      </c>
      <c r="D88" s="4"/>
      <c r="E88" s="8"/>
      <c r="F88" s="8"/>
      <c r="G88" s="13"/>
      <c r="H88" s="4" t="s">
        <v>1038</v>
      </c>
      <c r="I88" s="12" t="s">
        <v>626</v>
      </c>
      <c r="J88" s="13"/>
      <c r="K88" s="4" t="s">
        <v>1039</v>
      </c>
    </row>
    <row r="89" ht="22.5" customHeight="1">
      <c r="A89" s="4" t="s">
        <v>1041</v>
      </c>
      <c r="B89" s="14" t="str">
        <f t="shared" si="1"/>
        <v>Rebekka</v>
      </c>
      <c r="C89" s="4" t="s">
        <v>1042</v>
      </c>
      <c r="D89" s="4"/>
      <c r="E89" s="8"/>
      <c r="F89" s="8"/>
      <c r="G89" s="4" t="s">
        <v>1043</v>
      </c>
      <c r="H89" s="4" t="s">
        <v>1044</v>
      </c>
      <c r="I89" s="12" t="s">
        <v>679</v>
      </c>
      <c r="J89" s="16" t="s">
        <v>1045</v>
      </c>
      <c r="K89" s="13"/>
    </row>
    <row r="90" ht="22.5" customHeight="1">
      <c r="A90" s="4" t="s">
        <v>1047</v>
      </c>
      <c r="B90" s="14" t="str">
        <f t="shared" si="1"/>
        <v>Asteria</v>
      </c>
      <c r="C90" s="4" t="s">
        <v>1048</v>
      </c>
      <c r="D90" s="4"/>
      <c r="E90" s="8"/>
      <c r="F90" s="8"/>
      <c r="G90" s="13"/>
      <c r="H90" s="4" t="s">
        <v>1049</v>
      </c>
      <c r="I90" s="12" t="s">
        <v>626</v>
      </c>
      <c r="J90" s="16" t="s">
        <v>1050</v>
      </c>
      <c r="K90" s="13"/>
    </row>
    <row r="91" ht="22.5" customHeight="1">
      <c r="A91" s="4" t="s">
        <v>1051</v>
      </c>
      <c r="B91" s="14" t="str">
        <f t="shared" si="1"/>
        <v>Sylvia</v>
      </c>
      <c r="C91" s="7" t="s">
        <v>1053</v>
      </c>
      <c r="D91" s="4"/>
      <c r="E91" s="8"/>
      <c r="F91" s="8"/>
      <c r="G91" s="13"/>
      <c r="H91" s="4" t="s">
        <v>1054</v>
      </c>
      <c r="I91" s="18"/>
      <c r="J91" s="13"/>
      <c r="K91" s="4" t="s">
        <v>1055</v>
      </c>
    </row>
    <row r="92" ht="22.5" customHeight="1">
      <c r="A92" s="4" t="s">
        <v>1056</v>
      </c>
      <c r="B92" s="14" t="str">
        <f t="shared" si="1"/>
        <v>Felicitas</v>
      </c>
      <c r="C92" s="7" t="s">
        <v>1057</v>
      </c>
      <c r="D92" s="4"/>
      <c r="E92" s="8"/>
      <c r="F92" s="8"/>
      <c r="G92" s="4" t="s">
        <v>1059</v>
      </c>
      <c r="H92" s="4"/>
      <c r="I92" s="18"/>
      <c r="J92" s="13"/>
      <c r="K92" s="4" t="s">
        <v>1060</v>
      </c>
    </row>
    <row r="93" ht="22.5" customHeight="1">
      <c r="A93" s="4" t="s">
        <v>1061</v>
      </c>
      <c r="B93" s="14" t="str">
        <f t="shared" si="1"/>
        <v>Dorothea</v>
      </c>
      <c r="C93" s="7" t="s">
        <v>1062</v>
      </c>
      <c r="D93" s="4"/>
      <c r="E93" s="8"/>
      <c r="F93" s="8"/>
      <c r="G93" s="13"/>
      <c r="H93" s="4" t="s">
        <v>1054</v>
      </c>
      <c r="I93" s="18"/>
      <c r="J93" s="13"/>
      <c r="K93" s="4" t="s">
        <v>1064</v>
      </c>
    </row>
    <row r="94" ht="22.5" customHeight="1">
      <c r="A94" s="4" t="s">
        <v>1065</v>
      </c>
      <c r="B94" s="14" t="str">
        <f t="shared" si="1"/>
        <v>Johannes</v>
      </c>
      <c r="C94" s="7" t="s">
        <v>378</v>
      </c>
      <c r="D94" s="4"/>
      <c r="E94" s="8"/>
      <c r="F94" s="8"/>
      <c r="G94" s="13"/>
      <c r="H94" s="4" t="s">
        <v>1054</v>
      </c>
      <c r="I94" s="18"/>
      <c r="J94" s="13"/>
      <c r="K94" s="4" t="s">
        <v>1066</v>
      </c>
    </row>
    <row r="95" ht="22.5" customHeight="1">
      <c r="A95" s="4" t="s">
        <v>1068</v>
      </c>
      <c r="B95" s="14" t="str">
        <f t="shared" si="1"/>
        <v>Sara</v>
      </c>
      <c r="C95" s="4" t="s">
        <v>1069</v>
      </c>
      <c r="D95" s="4"/>
      <c r="E95" s="8"/>
      <c r="F95" s="8"/>
      <c r="G95" s="4" t="s">
        <v>1070</v>
      </c>
      <c r="H95" s="4" t="s">
        <v>1071</v>
      </c>
      <c r="I95" s="12" t="s">
        <v>679</v>
      </c>
      <c r="J95" s="16" t="s">
        <v>1072</v>
      </c>
      <c r="K95" s="13"/>
    </row>
    <row r="96" ht="22.5" customHeight="1">
      <c r="A96" s="4" t="s">
        <v>1073</v>
      </c>
      <c r="B96" s="14" t="str">
        <f t="shared" si="1"/>
        <v>Hesiodus</v>
      </c>
      <c r="C96" s="4" t="s">
        <v>1075</v>
      </c>
      <c r="D96" s="4"/>
      <c r="E96" s="8"/>
      <c r="F96" s="8"/>
      <c r="G96" s="4" t="s">
        <v>1076</v>
      </c>
      <c r="H96" s="4" t="s">
        <v>1077</v>
      </c>
      <c r="I96" s="12" t="s">
        <v>42</v>
      </c>
      <c r="J96" s="16" t="s">
        <v>1078</v>
      </c>
      <c r="K96" s="13"/>
    </row>
    <row r="97" ht="22.5" customHeight="1">
      <c r="A97" s="4" t="s">
        <v>1079</v>
      </c>
      <c r="B97" s="14" t="str">
        <f t="shared" si="1"/>
        <v>Parmenides (ca. 515 v. Chr.-ca. 445 v. Chr.)</v>
      </c>
      <c r="C97" s="4" t="s">
        <v>1081</v>
      </c>
      <c r="D97" s="4"/>
      <c r="E97" s="8" t="s">
        <v>1082</v>
      </c>
      <c r="F97" s="8" t="s">
        <v>1083</v>
      </c>
      <c r="G97" s="4" t="s">
        <v>1084</v>
      </c>
      <c r="H97" s="4" t="s">
        <v>1085</v>
      </c>
      <c r="I97" s="12" t="s">
        <v>42</v>
      </c>
      <c r="J97" s="21" t="s">
        <v>1086</v>
      </c>
      <c r="K97" s="13"/>
    </row>
    <row r="98" ht="22.5" customHeight="1">
      <c r="A98" s="4" t="s">
        <v>1087</v>
      </c>
      <c r="B98" s="14" t="str">
        <f t="shared" si="1"/>
        <v>Salomo</v>
      </c>
      <c r="C98" s="4" t="s">
        <v>1088</v>
      </c>
      <c r="D98" s="4"/>
      <c r="E98" s="8"/>
      <c r="F98" s="8"/>
      <c r="G98" s="4" t="s">
        <v>1090</v>
      </c>
      <c r="H98" s="4" t="s">
        <v>1091</v>
      </c>
      <c r="I98" s="12" t="s">
        <v>679</v>
      </c>
      <c r="J98" s="16" t="s">
        <v>1092</v>
      </c>
      <c r="K98" s="13"/>
    </row>
    <row r="99" ht="22.5" customHeight="1">
      <c r="A99" s="4" t="s">
        <v>1094</v>
      </c>
      <c r="B99" s="14" t="str">
        <f t="shared" si="1"/>
        <v>Isaak</v>
      </c>
      <c r="C99" s="4" t="s">
        <v>1095</v>
      </c>
      <c r="D99" s="4"/>
      <c r="E99" s="8"/>
      <c r="F99" s="8"/>
      <c r="G99" s="4" t="s">
        <v>1096</v>
      </c>
      <c r="H99" s="4" t="s">
        <v>1097</v>
      </c>
      <c r="I99" s="12" t="s">
        <v>679</v>
      </c>
      <c r="J99" s="16" t="s">
        <v>1098</v>
      </c>
      <c r="K99" s="13"/>
    </row>
    <row r="100" ht="22.5" customHeight="1">
      <c r="A100" s="4" t="s">
        <v>1100</v>
      </c>
      <c r="B100" s="14" t="str">
        <f t="shared" si="1"/>
        <v>Rahel</v>
      </c>
      <c r="C100" s="4" t="s">
        <v>1101</v>
      </c>
      <c r="D100" s="4"/>
      <c r="E100" s="8"/>
      <c r="F100" s="8"/>
      <c r="G100" s="4" t="s">
        <v>1102</v>
      </c>
      <c r="H100" s="4" t="s">
        <v>1103</v>
      </c>
      <c r="I100" s="12" t="s">
        <v>679</v>
      </c>
      <c r="J100" s="16" t="s">
        <v>1104</v>
      </c>
      <c r="K100" s="13"/>
    </row>
    <row r="101" ht="22.5" customHeight="1">
      <c r="A101" s="4" t="s">
        <v>1106</v>
      </c>
      <c r="B101" s="14" t="str">
        <f t="shared" si="1"/>
        <v>Ijob</v>
      </c>
      <c r="C101" s="4" t="s">
        <v>1107</v>
      </c>
      <c r="D101" s="4"/>
      <c r="E101" s="8"/>
      <c r="F101" s="8"/>
      <c r="G101" s="4" t="s">
        <v>1108</v>
      </c>
      <c r="H101" s="4" t="s">
        <v>1109</v>
      </c>
      <c r="I101" s="12" t="s">
        <v>679</v>
      </c>
      <c r="J101" s="16" t="s">
        <v>1110</v>
      </c>
      <c r="K101" s="13"/>
    </row>
    <row r="102" ht="22.5" customHeight="1">
      <c r="A102" s="4" t="s">
        <v>1112</v>
      </c>
      <c r="B102" s="14" t="str">
        <f t="shared" si="1"/>
        <v>Simson</v>
      </c>
      <c r="C102" s="4" t="s">
        <v>1113</v>
      </c>
      <c r="D102" s="4"/>
      <c r="E102" s="8"/>
      <c r="F102" s="8"/>
      <c r="G102" s="4" t="s">
        <v>1114</v>
      </c>
      <c r="H102" s="4" t="s">
        <v>1115</v>
      </c>
      <c r="I102" s="12" t="s">
        <v>679</v>
      </c>
      <c r="J102" s="16" t="s">
        <v>1116</v>
      </c>
      <c r="K102" s="13"/>
    </row>
    <row r="103" ht="22.5" customHeight="1">
      <c r="A103" s="4" t="s">
        <v>1117</v>
      </c>
      <c r="B103" s="14" t="str">
        <f t="shared" si="1"/>
        <v>Sirach</v>
      </c>
      <c r="C103" s="4" t="s">
        <v>1118</v>
      </c>
      <c r="D103" s="4"/>
      <c r="E103" s="8"/>
      <c r="F103" s="8"/>
      <c r="G103" s="4" t="s">
        <v>1120</v>
      </c>
      <c r="H103" s="4" t="s">
        <v>1121</v>
      </c>
      <c r="I103" s="12" t="s">
        <v>42</v>
      </c>
      <c r="J103" s="16" t="s">
        <v>1122</v>
      </c>
      <c r="K103" s="13"/>
    </row>
    <row r="104" ht="22.5" customHeight="1">
      <c r="A104" s="4" t="s">
        <v>1123</v>
      </c>
      <c r="B104" s="14" t="str">
        <f t="shared" si="1"/>
        <v>Tell, Wilhelm </v>
      </c>
      <c r="C104" s="4" t="s">
        <v>1124</v>
      </c>
      <c r="D104" s="4" t="s">
        <v>1125</v>
      </c>
      <c r="E104" s="8"/>
      <c r="F104" s="8"/>
      <c r="G104" s="4" t="s">
        <v>1126</v>
      </c>
      <c r="H104" s="4" t="s">
        <v>1127</v>
      </c>
      <c r="I104" s="12" t="s">
        <v>1128</v>
      </c>
      <c r="J104" s="16" t="s">
        <v>1129</v>
      </c>
      <c r="K104" s="13"/>
    </row>
    <row r="105" ht="22.5" customHeight="1">
      <c r="A105" s="4" t="s">
        <v>1131</v>
      </c>
      <c r="B105" s="14" t="str">
        <f t="shared" si="1"/>
        <v>Zephir</v>
      </c>
      <c r="C105" s="4" t="s">
        <v>1132</v>
      </c>
      <c r="D105" s="4"/>
      <c r="E105" s="8"/>
      <c r="F105" s="8"/>
      <c r="G105" s="4" t="s">
        <v>1133</v>
      </c>
      <c r="H105" s="4" t="s">
        <v>1134</v>
      </c>
      <c r="I105" s="12" t="s">
        <v>626</v>
      </c>
      <c r="J105" s="16" t="s">
        <v>1135</v>
      </c>
      <c r="K105" s="13"/>
    </row>
    <row r="106" ht="22.5" customHeight="1">
      <c r="A106" s="4" t="s">
        <v>1136</v>
      </c>
      <c r="B106" s="14" t="str">
        <f t="shared" si="1"/>
        <v>Matthias</v>
      </c>
      <c r="C106" s="4" t="s">
        <v>163</v>
      </c>
      <c r="D106" s="4"/>
      <c r="E106" s="8"/>
      <c r="F106" s="8"/>
      <c r="G106" s="4" t="s">
        <v>1137</v>
      </c>
      <c r="H106" s="4" t="s">
        <v>1138</v>
      </c>
      <c r="I106" s="12" t="s">
        <v>679</v>
      </c>
      <c r="J106" s="16" t="s">
        <v>1139</v>
      </c>
      <c r="K106" s="13"/>
    </row>
    <row r="107" ht="22.5" customHeight="1">
      <c r="A107" s="4" t="s">
        <v>1140</v>
      </c>
      <c r="B107" s="14" t="str">
        <f t="shared" si="1"/>
        <v>Gracchus, Tiberius Sempronius  (220 v. Chr.-150 v. Chr.)</v>
      </c>
      <c r="C107" s="4" t="s">
        <v>1141</v>
      </c>
      <c r="D107" s="4" t="s">
        <v>1142</v>
      </c>
      <c r="E107" s="8" t="s">
        <v>1143</v>
      </c>
      <c r="F107" s="8" t="s">
        <v>1144</v>
      </c>
      <c r="G107" s="4" t="s">
        <v>1145</v>
      </c>
      <c r="H107" s="4" t="s">
        <v>1146</v>
      </c>
      <c r="I107" s="12" t="s">
        <v>42</v>
      </c>
      <c r="J107" s="16" t="s">
        <v>1147</v>
      </c>
      <c r="K107" s="13"/>
    </row>
    <row r="108" ht="22.5" customHeight="1">
      <c r="A108" s="4" t="s">
        <v>1148</v>
      </c>
      <c r="B108" s="14" t="str">
        <f t="shared" si="1"/>
        <v>Gracchus, Cornelia (190 v. Chr.-100 v. Chr.)</v>
      </c>
      <c r="C108" s="4" t="s">
        <v>1141</v>
      </c>
      <c r="D108" s="4" t="s">
        <v>1149</v>
      </c>
      <c r="E108" s="8" t="s">
        <v>1150</v>
      </c>
      <c r="F108" s="8" t="s">
        <v>1151</v>
      </c>
      <c r="G108" s="4" t="s">
        <v>1152</v>
      </c>
      <c r="H108" s="4" t="s">
        <v>1153</v>
      </c>
      <c r="I108" s="12" t="s">
        <v>42</v>
      </c>
      <c r="J108" s="16" t="s">
        <v>1154</v>
      </c>
      <c r="K108" s="13"/>
    </row>
    <row r="109" ht="22.5" customHeight="1">
      <c r="A109" s="4" t="s">
        <v>1155</v>
      </c>
      <c r="B109" s="14" t="str">
        <f t="shared" si="1"/>
        <v>Mose</v>
      </c>
      <c r="C109" s="4" t="s">
        <v>1156</v>
      </c>
      <c r="D109" s="4"/>
      <c r="E109" s="8"/>
      <c r="F109" s="8"/>
      <c r="G109" s="4" t="s">
        <v>1157</v>
      </c>
      <c r="H109" s="4" t="s">
        <v>679</v>
      </c>
      <c r="I109" s="12" t="s">
        <v>679</v>
      </c>
      <c r="J109" s="16" t="s">
        <v>1158</v>
      </c>
      <c r="K109" s="13"/>
    </row>
    <row r="110" ht="22.5" customHeight="1">
      <c r="A110" s="4" t="s">
        <v>1159</v>
      </c>
      <c r="B110" s="14" t="str">
        <f t="shared" si="1"/>
        <v>Orestes</v>
      </c>
      <c r="C110" s="4" t="s">
        <v>1160</v>
      </c>
      <c r="D110" s="4"/>
      <c r="E110" s="8"/>
      <c r="F110" s="8"/>
      <c r="G110" s="4" t="s">
        <v>1161</v>
      </c>
      <c r="H110" s="4" t="s">
        <v>1162</v>
      </c>
      <c r="I110" s="12" t="s">
        <v>626</v>
      </c>
      <c r="J110" s="13"/>
      <c r="K110" s="13"/>
    </row>
    <row r="111" ht="22.5" customHeight="1">
      <c r="A111" s="4" t="s">
        <v>1163</v>
      </c>
      <c r="B111" s="14" t="str">
        <f t="shared" si="1"/>
        <v>Pylades</v>
      </c>
      <c r="C111" s="4" t="s">
        <v>1164</v>
      </c>
      <c r="D111" s="4"/>
      <c r="E111" s="8"/>
      <c r="F111" s="8"/>
      <c r="G111" s="4" t="s">
        <v>1165</v>
      </c>
      <c r="H111" s="4" t="s">
        <v>1166</v>
      </c>
      <c r="I111" s="12" t="s">
        <v>626</v>
      </c>
      <c r="J111" s="13"/>
      <c r="K111" s="13"/>
    </row>
    <row r="112" ht="22.5" customHeight="1">
      <c r="A112" s="4" t="s">
        <v>1167</v>
      </c>
      <c r="B112" s="14" t="str">
        <f t="shared" si="1"/>
        <v>Thurik</v>
      </c>
      <c r="C112" s="4" t="s">
        <v>1168</v>
      </c>
      <c r="D112" s="4"/>
      <c r="E112" s="8"/>
      <c r="F112" s="8"/>
      <c r="G112" s="13"/>
      <c r="H112" s="4" t="s">
        <v>1169</v>
      </c>
      <c r="I112" s="12" t="s">
        <v>626</v>
      </c>
      <c r="J112" s="4" t="s">
        <v>1170</v>
      </c>
      <c r="K112" s="32"/>
    </row>
    <row r="113" ht="22.5" customHeight="1">
      <c r="A113" s="4" t="s">
        <v>1171</v>
      </c>
      <c r="B113" s="14" t="str">
        <f t="shared" si="1"/>
        <v>Midas</v>
      </c>
      <c r="C113" s="4" t="s">
        <v>1172</v>
      </c>
      <c r="D113" s="4"/>
      <c r="E113" s="8"/>
      <c r="F113" s="8"/>
      <c r="G113" s="4" t="s">
        <v>1173</v>
      </c>
      <c r="H113" s="4" t="s">
        <v>1174</v>
      </c>
      <c r="I113" s="12" t="s">
        <v>626</v>
      </c>
      <c r="J113" s="13"/>
      <c r="K113" s="13"/>
    </row>
    <row r="114" ht="22.5" customHeight="1">
      <c r="A114" s="4" t="s">
        <v>1175</v>
      </c>
      <c r="B114" s="14" t="str">
        <f t="shared" si="1"/>
        <v>Simon</v>
      </c>
      <c r="C114" s="4" t="s">
        <v>1176</v>
      </c>
      <c r="D114" s="4"/>
      <c r="E114" s="8"/>
      <c r="F114" s="8"/>
      <c r="G114" s="13"/>
      <c r="H114" s="4" t="s">
        <v>1177</v>
      </c>
      <c r="I114" s="12" t="s">
        <v>626</v>
      </c>
      <c r="J114" s="13"/>
      <c r="K114" s="4" t="s">
        <v>1178</v>
      </c>
    </row>
    <row r="115" ht="22.5" customHeight="1">
      <c r="A115" s="4" t="s">
        <v>1179</v>
      </c>
      <c r="B115" s="14" t="str">
        <f t="shared" si="1"/>
        <v>Damokles</v>
      </c>
      <c r="C115" s="4" t="s">
        <v>1180</v>
      </c>
      <c r="D115" s="4"/>
      <c r="E115" s="8"/>
      <c r="F115" s="8"/>
      <c r="G115" s="4" t="s">
        <v>1181</v>
      </c>
      <c r="H115" s="4" t="s">
        <v>1182</v>
      </c>
      <c r="I115" s="12" t="s">
        <v>626</v>
      </c>
      <c r="J115" s="13"/>
      <c r="K115" s="13"/>
    </row>
    <row r="116" ht="22.5" customHeight="1">
      <c r="A116" s="4" t="s">
        <v>1183</v>
      </c>
      <c r="B116" s="14" t="str">
        <f t="shared" si="1"/>
        <v>Dionysius I. von Syrakus</v>
      </c>
      <c r="C116" s="4" t="s">
        <v>1184</v>
      </c>
      <c r="D116" s="4"/>
      <c r="E116" s="8"/>
      <c r="F116" s="8"/>
      <c r="G116" s="4" t="s">
        <v>1185</v>
      </c>
      <c r="H116" s="4" t="s">
        <v>1186</v>
      </c>
      <c r="I116" s="12" t="s">
        <v>42</v>
      </c>
      <c r="J116" s="13"/>
      <c r="K116" s="13"/>
    </row>
    <row r="117" ht="22.5" customHeight="1">
      <c r="A117" s="4" t="s">
        <v>1187</v>
      </c>
      <c r="B117" s="14" t="str">
        <f t="shared" si="1"/>
        <v>Kleopatra VII.</v>
      </c>
      <c r="C117" s="4" t="s">
        <v>1188</v>
      </c>
      <c r="D117" s="4"/>
      <c r="E117" s="8"/>
      <c r="F117" s="8"/>
      <c r="G117" s="4" t="s">
        <v>1189</v>
      </c>
      <c r="H117" s="4" t="s">
        <v>1190</v>
      </c>
      <c r="I117" s="12" t="s">
        <v>42</v>
      </c>
      <c r="J117" s="13"/>
      <c r="K117" s="13"/>
    </row>
    <row r="118" ht="22.5" customHeight="1">
      <c r="A118" s="4" t="s">
        <v>1191</v>
      </c>
      <c r="B118" s="14" t="str">
        <f t="shared" si="1"/>
        <v>Antonius, Marcus</v>
      </c>
      <c r="C118" s="4" t="s">
        <v>1192</v>
      </c>
      <c r="D118" s="4" t="s">
        <v>1193</v>
      </c>
      <c r="E118" s="8"/>
      <c r="F118" s="8"/>
      <c r="G118" s="4" t="s">
        <v>1194</v>
      </c>
      <c r="H118" s="4" t="s">
        <v>1195</v>
      </c>
      <c r="I118" s="12" t="s">
        <v>42</v>
      </c>
      <c r="J118" s="13"/>
      <c r="K118" s="13"/>
    </row>
    <row r="119" ht="22.5" customHeight="1">
      <c r="A119" s="4" t="s">
        <v>1196</v>
      </c>
      <c r="B119" s="14" t="str">
        <f t="shared" si="1"/>
        <v>Klio</v>
      </c>
      <c r="C119" s="4" t="s">
        <v>1197</v>
      </c>
      <c r="D119" s="4"/>
      <c r="E119" s="8"/>
      <c r="F119" s="8"/>
      <c r="G119" s="4" t="s">
        <v>1198</v>
      </c>
      <c r="H119" s="4" t="s">
        <v>1199</v>
      </c>
      <c r="I119" s="12" t="s">
        <v>626</v>
      </c>
      <c r="J119" s="13"/>
      <c r="K119" s="13"/>
    </row>
    <row r="120" ht="22.5" customHeight="1">
      <c r="A120" s="4" t="s">
        <v>1200</v>
      </c>
      <c r="B120" s="14" t="str">
        <f t="shared" si="1"/>
        <v>Flora</v>
      </c>
      <c r="C120" s="4" t="s">
        <v>1201</v>
      </c>
      <c r="D120" s="4"/>
      <c r="E120" s="8"/>
      <c r="F120" s="8"/>
      <c r="G120" s="4" t="s">
        <v>1202</v>
      </c>
      <c r="H120" s="4" t="s">
        <v>1203</v>
      </c>
      <c r="I120" s="12" t="s">
        <v>626</v>
      </c>
      <c r="J120" s="13"/>
      <c r="K120" s="13"/>
    </row>
    <row r="121" ht="22.5" customHeight="1">
      <c r="A121" s="4" t="s">
        <v>1204</v>
      </c>
      <c r="B121" s="14" t="str">
        <f t="shared" si="1"/>
        <v>Holzhalb, Magdalena (-105168-?)</v>
      </c>
      <c r="C121" s="4" t="s">
        <v>1205</v>
      </c>
      <c r="D121" s="4" t="s">
        <v>1206</v>
      </c>
      <c r="E121" s="40" t="s">
        <v>1207</v>
      </c>
      <c r="F121" s="8"/>
      <c r="G121" s="13"/>
      <c r="H121" s="4" t="s">
        <v>1208</v>
      </c>
      <c r="I121" s="12" t="s">
        <v>42</v>
      </c>
      <c r="J121" s="13"/>
      <c r="K121" s="13"/>
    </row>
    <row r="122" ht="22.5" customHeight="1">
      <c r="A122" s="4" t="s">
        <v>1209</v>
      </c>
      <c r="B122" s="14" t="str">
        <f t="shared" si="1"/>
        <v>Waser, Johann Heinrich (1600-1669)</v>
      </c>
      <c r="C122" s="4" t="s">
        <v>1210</v>
      </c>
      <c r="D122" s="4" t="s">
        <v>145</v>
      </c>
      <c r="E122" s="8">
        <v>1600.0</v>
      </c>
      <c r="F122" s="8">
        <v>1669.0</v>
      </c>
      <c r="G122" s="4" t="s">
        <v>1211</v>
      </c>
      <c r="H122" s="29" t="s">
        <v>1212</v>
      </c>
      <c r="I122" s="12" t="s">
        <v>42</v>
      </c>
      <c r="J122" s="37" t="s">
        <v>1213</v>
      </c>
      <c r="K122" s="13"/>
    </row>
    <row r="123" ht="22.5" customHeight="1">
      <c r="A123" s="4" t="s">
        <v>1214</v>
      </c>
      <c r="B123" s="14" t="str">
        <f t="shared" si="1"/>
        <v>Ziegler, Jahel (1599-1654)</v>
      </c>
      <c r="C123" s="4" t="s">
        <v>691</v>
      </c>
      <c r="D123" s="4" t="s">
        <v>1215</v>
      </c>
      <c r="E123" s="8">
        <v>1599.0</v>
      </c>
      <c r="F123" s="8">
        <v>1654.0</v>
      </c>
      <c r="G123" s="13"/>
      <c r="H123" s="4" t="s">
        <v>1216</v>
      </c>
      <c r="I123" s="12" t="s">
        <v>42</v>
      </c>
      <c r="J123" s="16" t="s">
        <v>1217</v>
      </c>
      <c r="K123" s="13"/>
    </row>
    <row r="124" ht="22.5" customHeight="1">
      <c r="A124" s="4" t="s">
        <v>1218</v>
      </c>
      <c r="B124" s="14" t="str">
        <f t="shared" si="1"/>
        <v>Waser, Johann Caspar (1612-1677)</v>
      </c>
      <c r="C124" s="4" t="s">
        <v>1210</v>
      </c>
      <c r="D124" s="4" t="s">
        <v>1219</v>
      </c>
      <c r="E124" s="8">
        <v>1612.0</v>
      </c>
      <c r="F124" s="8">
        <v>1677.0</v>
      </c>
      <c r="G124" s="4" t="s">
        <v>1220</v>
      </c>
      <c r="H124" s="4" t="s">
        <v>1221</v>
      </c>
      <c r="I124" s="12" t="s">
        <v>42</v>
      </c>
      <c r="J124" s="29" t="s">
        <v>1222</v>
      </c>
      <c r="K124" s="13"/>
    </row>
    <row r="125" ht="22.5" customHeight="1">
      <c r="A125" s="4" t="s">
        <v>1223</v>
      </c>
      <c r="B125" s="14" t="str">
        <f t="shared" si="1"/>
        <v>Orell, Esther (1621-1696)</v>
      </c>
      <c r="C125" s="4" t="s">
        <v>1224</v>
      </c>
      <c r="D125" s="4" t="s">
        <v>1225</v>
      </c>
      <c r="E125" s="8">
        <v>1621.0</v>
      </c>
      <c r="F125" s="8">
        <v>1696.0</v>
      </c>
      <c r="G125" s="13"/>
      <c r="H125" s="4" t="s">
        <v>1226</v>
      </c>
      <c r="I125" s="12" t="s">
        <v>42</v>
      </c>
      <c r="J125" s="16" t="s">
        <v>1227</v>
      </c>
      <c r="K125" s="13"/>
    </row>
    <row r="126" ht="22.5" customHeight="1">
      <c r="A126" s="4" t="s">
        <v>1228</v>
      </c>
      <c r="B126" s="14" t="str">
        <f t="shared" si="1"/>
        <v>Hess, Georg (1615-1680)</v>
      </c>
      <c r="C126" s="4" t="s">
        <v>1229</v>
      </c>
      <c r="D126" s="4" t="s">
        <v>204</v>
      </c>
      <c r="E126" s="8">
        <v>1615.0</v>
      </c>
      <c r="F126" s="8">
        <v>1680.0</v>
      </c>
      <c r="G126" s="4" t="s">
        <v>1230</v>
      </c>
      <c r="H126" s="4" t="s">
        <v>1231</v>
      </c>
      <c r="I126" s="12" t="s">
        <v>42</v>
      </c>
      <c r="J126" s="21" t="s">
        <v>1232</v>
      </c>
      <c r="K126" s="13"/>
    </row>
    <row r="127" ht="22.5" customHeight="1">
      <c r="A127" s="4" t="s">
        <v>1233</v>
      </c>
      <c r="B127" s="14" t="str">
        <f t="shared" si="1"/>
        <v>Schweizer, Kleophea (1607-1686)</v>
      </c>
      <c r="C127" s="4" t="s">
        <v>1234</v>
      </c>
      <c r="D127" s="4" t="s">
        <v>1235</v>
      </c>
      <c r="E127" s="8">
        <v>1607.0</v>
      </c>
      <c r="F127" s="8">
        <v>1686.0</v>
      </c>
      <c r="G127" s="13"/>
      <c r="H127" s="4" t="s">
        <v>1236</v>
      </c>
      <c r="I127" s="12" t="s">
        <v>42</v>
      </c>
      <c r="J127" s="16" t="s">
        <v>1237</v>
      </c>
      <c r="K127" s="13"/>
    </row>
    <row r="128" ht="22.5" customHeight="1">
      <c r="A128" s="4" t="s">
        <v>1238</v>
      </c>
      <c r="B128" s="14" t="str">
        <f t="shared" si="1"/>
        <v>Salis-Marschlins, Hercules von (1617-1686)</v>
      </c>
      <c r="C128" s="4" t="s">
        <v>1239</v>
      </c>
      <c r="D128" s="4" t="s">
        <v>1240</v>
      </c>
      <c r="E128" s="8">
        <v>1617.0</v>
      </c>
      <c r="F128" s="8">
        <v>1686.0</v>
      </c>
      <c r="G128" s="4" t="s">
        <v>1241</v>
      </c>
      <c r="H128" s="4" t="s">
        <v>1242</v>
      </c>
      <c r="I128" s="12" t="s">
        <v>42</v>
      </c>
      <c r="J128" s="21" t="s">
        <v>1243</v>
      </c>
      <c r="K128" s="13"/>
    </row>
    <row r="129" ht="22.5" customHeight="1">
      <c r="A129" s="4" t="s">
        <v>1244</v>
      </c>
      <c r="B129" s="14" t="str">
        <f t="shared" si="1"/>
        <v>Salis, Barbara Dorothea von (1629-1660)</v>
      </c>
      <c r="C129" s="4" t="s">
        <v>1245</v>
      </c>
      <c r="D129" s="4" t="s">
        <v>1246</v>
      </c>
      <c r="E129" s="8">
        <v>1629.0</v>
      </c>
      <c r="F129" s="8">
        <v>1660.0</v>
      </c>
      <c r="G129" s="13"/>
      <c r="H129" s="4" t="s">
        <v>1247</v>
      </c>
      <c r="I129" s="12" t="s">
        <v>42</v>
      </c>
      <c r="J129" s="21" t="s">
        <v>1248</v>
      </c>
      <c r="K129" s="13"/>
    </row>
    <row r="130" ht="22.5" customHeight="1">
      <c r="A130" s="4" t="s">
        <v>1249</v>
      </c>
      <c r="B130" s="14" t="str">
        <f t="shared" si="1"/>
        <v>H. H. L.</v>
      </c>
      <c r="C130" s="4" t="s">
        <v>1250</v>
      </c>
      <c r="D130" s="4"/>
      <c r="E130" s="8"/>
      <c r="F130" s="8"/>
      <c r="G130" s="13"/>
      <c r="H130" s="4"/>
      <c r="I130" s="12" t="s">
        <v>42</v>
      </c>
      <c r="J130" s="13"/>
      <c r="K130" s="13"/>
    </row>
    <row r="131" ht="22.5" customHeight="1">
      <c r="A131" s="4" t="s">
        <v>1251</v>
      </c>
      <c r="B131" s="14" t="str">
        <f t="shared" si="1"/>
        <v>Aberli, Johannes Heinrich (1600-1661)</v>
      </c>
      <c r="C131" s="4" t="s">
        <v>1252</v>
      </c>
      <c r="D131" s="4" t="s">
        <v>1253</v>
      </c>
      <c r="E131" s="8">
        <v>1600.0</v>
      </c>
      <c r="F131" s="8">
        <v>1661.0</v>
      </c>
      <c r="G131" s="4" t="s">
        <v>1254</v>
      </c>
      <c r="H131" s="4" t="s">
        <v>1255</v>
      </c>
      <c r="I131" s="12" t="s">
        <v>42</v>
      </c>
      <c r="J131" s="29" t="s">
        <v>1256</v>
      </c>
      <c r="K131" s="13"/>
    </row>
    <row r="132" ht="22.5" customHeight="1">
      <c r="A132" s="4" t="s">
        <v>1257</v>
      </c>
      <c r="B132" s="14" t="str">
        <f t="shared" si="1"/>
        <v>Mauer, Barbara (1601-?)</v>
      </c>
      <c r="C132" s="4" t="s">
        <v>1258</v>
      </c>
      <c r="D132" s="4" t="s">
        <v>1259</v>
      </c>
      <c r="E132" s="8">
        <v>1601.0</v>
      </c>
      <c r="F132" s="8"/>
      <c r="G132" s="13"/>
      <c r="H132" s="4" t="s">
        <v>1260</v>
      </c>
      <c r="I132" s="12" t="s">
        <v>42</v>
      </c>
      <c r="J132" s="16" t="s">
        <v>1261</v>
      </c>
      <c r="K132" s="13"/>
    </row>
    <row r="133" ht="22.5" customHeight="1">
      <c r="A133" s="4" t="s">
        <v>1262</v>
      </c>
      <c r="B133" s="14" t="str">
        <f t="shared" si="1"/>
        <v>Hans Konrad, Holzhalb (1640-?)</v>
      </c>
      <c r="C133" s="4" t="s">
        <v>1263</v>
      </c>
      <c r="D133" s="4" t="s">
        <v>1205</v>
      </c>
      <c r="E133" s="8">
        <v>1640.0</v>
      </c>
      <c r="F133" s="8"/>
      <c r="G133" s="13"/>
      <c r="H133" s="4" t="s">
        <v>1264</v>
      </c>
      <c r="I133" s="12" t="s">
        <v>42</v>
      </c>
      <c r="J133" s="16" t="s">
        <v>1265</v>
      </c>
      <c r="K133" s="13"/>
    </row>
    <row r="134" ht="22.5" customHeight="1">
      <c r="A134" s="4" t="s">
        <v>1266</v>
      </c>
      <c r="B134" s="14" t="str">
        <f t="shared" si="1"/>
        <v>Müller, Dorothea (1641-1718)</v>
      </c>
      <c r="C134" s="4" t="s">
        <v>202</v>
      </c>
      <c r="D134" s="4" t="s">
        <v>1062</v>
      </c>
      <c r="E134" s="8">
        <v>1641.0</v>
      </c>
      <c r="F134" s="8">
        <v>1718.0</v>
      </c>
      <c r="G134" s="13"/>
      <c r="H134" s="4" t="s">
        <v>1267</v>
      </c>
      <c r="I134" s="12" t="s">
        <v>42</v>
      </c>
      <c r="J134" s="16" t="s">
        <v>1268</v>
      </c>
      <c r="K134" s="13"/>
    </row>
    <row r="135" ht="22.5" customHeight="1">
      <c r="A135" s="4" t="s">
        <v>1269</v>
      </c>
      <c r="B135" s="14" t="str">
        <f t="shared" si="1"/>
        <v>Gottfrid</v>
      </c>
      <c r="C135" s="4" t="s">
        <v>1270</v>
      </c>
      <c r="D135" s="4"/>
      <c r="E135" s="8"/>
      <c r="F135" s="8"/>
      <c r="G135" s="13"/>
      <c r="H135" s="4" t="s">
        <v>1271</v>
      </c>
      <c r="I135" s="12" t="s">
        <v>42</v>
      </c>
      <c r="J135" s="4" t="s">
        <v>1272</v>
      </c>
      <c r="K135" s="13"/>
    </row>
    <row r="136" ht="22.5" customHeight="1">
      <c r="A136" s="4" t="s">
        <v>1273</v>
      </c>
      <c r="B136" s="14" t="str">
        <f t="shared" si="1"/>
        <v>Jakob</v>
      </c>
      <c r="C136" s="4" t="s">
        <v>823</v>
      </c>
      <c r="D136" s="4"/>
      <c r="E136" s="8"/>
      <c r="F136" s="8"/>
      <c r="G136" s="13"/>
      <c r="H136" s="4" t="s">
        <v>1271</v>
      </c>
      <c r="I136" s="12" t="s">
        <v>42</v>
      </c>
      <c r="J136" s="4" t="s">
        <v>1272</v>
      </c>
      <c r="K136" s="13"/>
    </row>
    <row r="137" ht="22.5" customHeight="1">
      <c r="A137" s="4" t="s">
        <v>1274</v>
      </c>
      <c r="B137" s="14" t="str">
        <f t="shared" si="1"/>
        <v>Schweizer, Johann Caspar (1620-1684)</v>
      </c>
      <c r="C137" s="4" t="s">
        <v>1234</v>
      </c>
      <c r="D137" s="4" t="s">
        <v>1219</v>
      </c>
      <c r="E137" s="8">
        <v>1620.0</v>
      </c>
      <c r="F137" s="8">
        <v>1684.0</v>
      </c>
      <c r="G137" s="4" t="s">
        <v>1275</v>
      </c>
      <c r="H137" s="4" t="s">
        <v>1276</v>
      </c>
      <c r="I137" s="12" t="s">
        <v>42</v>
      </c>
      <c r="J137" s="16" t="s">
        <v>1277</v>
      </c>
      <c r="K137" s="13"/>
    </row>
    <row r="138" ht="22.5" customHeight="1">
      <c r="A138" s="4" t="s">
        <v>1278</v>
      </c>
      <c r="B138" s="14" t="str">
        <f t="shared" si="1"/>
        <v>Keller , Elisabeth (1623-1679)</v>
      </c>
      <c r="C138" s="4" t="s">
        <v>1279</v>
      </c>
      <c r="D138" s="4" t="s">
        <v>1280</v>
      </c>
      <c r="E138" s="8">
        <v>1623.0</v>
      </c>
      <c r="F138" s="8">
        <v>1679.0</v>
      </c>
      <c r="G138" s="13"/>
      <c r="H138" s="4" t="s">
        <v>1281</v>
      </c>
      <c r="I138" s="12" t="s">
        <v>42</v>
      </c>
      <c r="J138" s="16" t="s">
        <v>1282</v>
      </c>
      <c r="K138" s="13"/>
    </row>
    <row r="139" ht="22.5" customHeight="1">
      <c r="A139" s="4" t="s">
        <v>1283</v>
      </c>
      <c r="B139" s="14" t="str">
        <f t="shared" si="1"/>
        <v>Ott, Hans Heinrich (1617-1682)</v>
      </c>
      <c r="C139" s="4" t="s">
        <v>1284</v>
      </c>
      <c r="D139" s="4" t="s">
        <v>223</v>
      </c>
      <c r="E139" s="8">
        <v>1617.0</v>
      </c>
      <c r="F139" s="8">
        <v>1682.0</v>
      </c>
      <c r="G139" s="4" t="s">
        <v>1285</v>
      </c>
      <c r="H139" s="4" t="s">
        <v>1286</v>
      </c>
      <c r="I139" s="12" t="s">
        <v>42</v>
      </c>
      <c r="J139" s="29" t="s">
        <v>1287</v>
      </c>
      <c r="K139" s="13"/>
    </row>
    <row r="140" ht="22.5" customHeight="1">
      <c r="A140" s="4" t="s">
        <v>1288</v>
      </c>
      <c r="B140" s="14" t="str">
        <f t="shared" si="1"/>
        <v>Wolf, Salomon (1621-1662)</v>
      </c>
      <c r="C140" s="4" t="s">
        <v>1289</v>
      </c>
      <c r="D140" s="4" t="s">
        <v>1290</v>
      </c>
      <c r="E140" s="8">
        <v>1621.0</v>
      </c>
      <c r="F140" s="8">
        <v>1662.0</v>
      </c>
      <c r="G140" s="13"/>
      <c r="H140" s="4" t="s">
        <v>1291</v>
      </c>
      <c r="I140" s="12" t="s">
        <v>42</v>
      </c>
      <c r="J140" s="16" t="s">
        <v>1292</v>
      </c>
      <c r="K140" s="13"/>
    </row>
    <row r="141" ht="22.5" customHeight="1">
      <c r="A141" s="4" t="s">
        <v>1293</v>
      </c>
      <c r="B141" s="14" t="str">
        <f t="shared" si="1"/>
        <v>Lauffer, Veronika (1624-1692)</v>
      </c>
      <c r="C141" s="4" t="s">
        <v>1294</v>
      </c>
      <c r="D141" s="4" t="s">
        <v>1295</v>
      </c>
      <c r="E141" s="8">
        <v>1624.0</v>
      </c>
      <c r="F141" s="8">
        <v>1692.0</v>
      </c>
      <c r="G141" s="13"/>
      <c r="H141" s="4" t="s">
        <v>1296</v>
      </c>
      <c r="I141" s="12" t="s">
        <v>42</v>
      </c>
      <c r="J141" s="21" t="s">
        <v>1297</v>
      </c>
      <c r="K141" s="13"/>
    </row>
    <row r="142" ht="22.5" customHeight="1">
      <c r="A142" s="4" t="s">
        <v>1298</v>
      </c>
      <c r="B142" s="14" t="str">
        <f t="shared" si="1"/>
        <v>Schulthess, Hans Heinrich (1619-1661)</v>
      </c>
      <c r="C142" s="4" t="s">
        <v>239</v>
      </c>
      <c r="D142" s="4" t="s">
        <v>223</v>
      </c>
      <c r="E142" s="8">
        <v>1619.0</v>
      </c>
      <c r="F142" s="8">
        <v>1661.0</v>
      </c>
      <c r="G142" s="13"/>
      <c r="H142" s="4" t="s">
        <v>1299</v>
      </c>
      <c r="I142" s="12" t="s">
        <v>42</v>
      </c>
      <c r="J142" s="16" t="s">
        <v>1300</v>
      </c>
      <c r="K142" s="13"/>
    </row>
    <row r="143" ht="22.5" customHeight="1">
      <c r="A143" s="4" t="s">
        <v>1301</v>
      </c>
      <c r="B143" s="14" t="str">
        <f t="shared" si="1"/>
        <v>Hartmann, Susanna (1619-1678)</v>
      </c>
      <c r="C143" s="4" t="s">
        <v>1302</v>
      </c>
      <c r="D143" s="4" t="s">
        <v>968</v>
      </c>
      <c r="E143" s="8">
        <v>1619.0</v>
      </c>
      <c r="F143" s="8">
        <v>1678.0</v>
      </c>
      <c r="G143" s="13"/>
      <c r="H143" s="4" t="s">
        <v>1303</v>
      </c>
      <c r="I143" s="12" t="s">
        <v>42</v>
      </c>
      <c r="J143" s="16" t="s">
        <v>1304</v>
      </c>
      <c r="K143" s="13"/>
    </row>
    <row r="144" ht="22.5" customHeight="1">
      <c r="A144" s="4" t="s">
        <v>1305</v>
      </c>
      <c r="B144" s="14" t="str">
        <f t="shared" si="1"/>
        <v>Herder, Hans Heinrich (1629-1665)</v>
      </c>
      <c r="C144" s="4" t="s">
        <v>1306</v>
      </c>
      <c r="D144" s="4" t="s">
        <v>223</v>
      </c>
      <c r="E144" s="8">
        <v>1629.0</v>
      </c>
      <c r="F144" s="8">
        <v>1665.0</v>
      </c>
      <c r="G144" s="4" t="s">
        <v>1307</v>
      </c>
      <c r="H144" s="4" t="s">
        <v>1308</v>
      </c>
      <c r="I144" s="12" t="s">
        <v>42</v>
      </c>
      <c r="J144" s="16" t="s">
        <v>1309</v>
      </c>
      <c r="K144" s="13"/>
    </row>
    <row r="145" ht="22.5" customHeight="1">
      <c r="A145" s="4" t="s">
        <v>1310</v>
      </c>
      <c r="B145" s="14" t="str">
        <f t="shared" si="1"/>
        <v>Wüst, Elisabeth (?-1699)</v>
      </c>
      <c r="C145" s="4" t="s">
        <v>1311</v>
      </c>
      <c r="D145" s="4" t="s">
        <v>1280</v>
      </c>
      <c r="E145" s="8"/>
      <c r="F145" s="8">
        <v>1699.0</v>
      </c>
      <c r="G145" s="13"/>
      <c r="H145" s="4" t="s">
        <v>1312</v>
      </c>
      <c r="I145" s="12" t="s">
        <v>42</v>
      </c>
      <c r="J145" s="37" t="s">
        <v>1313</v>
      </c>
      <c r="K145" s="13"/>
    </row>
    <row r="146" ht="22.5" customHeight="1">
      <c r="A146" s="4" t="s">
        <v>1314</v>
      </c>
      <c r="B146" s="14" t="str">
        <f t="shared" si="1"/>
        <v>Koller, Elisabeth (1622-?)</v>
      </c>
      <c r="C146" s="4" t="s">
        <v>1315</v>
      </c>
      <c r="D146" s="4" t="s">
        <v>1280</v>
      </c>
      <c r="E146" s="8">
        <v>1622.0</v>
      </c>
      <c r="F146" s="8"/>
      <c r="G146" s="13"/>
      <c r="H146" s="4" t="s">
        <v>1316</v>
      </c>
      <c r="I146" s="12" t="s">
        <v>42</v>
      </c>
      <c r="J146" s="16" t="s">
        <v>1317</v>
      </c>
      <c r="K146" s="13"/>
    </row>
    <row r="147" ht="22.5" customHeight="1">
      <c r="A147" s="4" t="s">
        <v>1318</v>
      </c>
      <c r="B147" s="14" t="str">
        <f t="shared" si="1"/>
        <v>Lobwasser, Ambrosius (1515-1585)</v>
      </c>
      <c r="C147" s="4" t="s">
        <v>1319</v>
      </c>
      <c r="D147" s="4" t="s">
        <v>1320</v>
      </c>
      <c r="E147" s="8">
        <v>1515.0</v>
      </c>
      <c r="F147" s="8">
        <v>1585.0</v>
      </c>
      <c r="G147" s="4" t="s">
        <v>1321</v>
      </c>
      <c r="H147" s="4" t="s">
        <v>1322</v>
      </c>
      <c r="I147" s="12" t="s">
        <v>42</v>
      </c>
      <c r="J147" s="13"/>
      <c r="K147" s="13"/>
    </row>
    <row r="148" ht="22.5" customHeight="1">
      <c r="A148" s="4" t="s">
        <v>1323</v>
      </c>
      <c r="B148" s="14" t="str">
        <f t="shared" si="1"/>
        <v>Vollenweider, Hans Jakob (1594-1647)</v>
      </c>
      <c r="C148" s="4" t="s">
        <v>1324</v>
      </c>
      <c r="D148" s="4" t="s">
        <v>597</v>
      </c>
      <c r="E148" s="8">
        <v>1594.0</v>
      </c>
      <c r="F148" s="8">
        <v>1647.0</v>
      </c>
      <c r="G148" s="4" t="s">
        <v>1325</v>
      </c>
      <c r="H148" s="4" t="s">
        <v>1326</v>
      </c>
      <c r="I148" s="12" t="s">
        <v>42</v>
      </c>
      <c r="J148" s="4" t="s">
        <v>1327</v>
      </c>
      <c r="K148" s="13"/>
    </row>
    <row r="149" ht="22.5" customHeight="1">
      <c r="A149" s="4" t="s">
        <v>1328</v>
      </c>
      <c r="B149" s="14" t="str">
        <f t="shared" si="1"/>
        <v>Amman, Johann Ludwig (1606-1660)</v>
      </c>
      <c r="C149" s="4" t="s">
        <v>608</v>
      </c>
      <c r="D149" s="4" t="s">
        <v>1329</v>
      </c>
      <c r="E149" s="8">
        <v>1606.0</v>
      </c>
      <c r="F149" s="8">
        <v>1660.0</v>
      </c>
      <c r="G149" s="4" t="s">
        <v>1330</v>
      </c>
      <c r="H149" s="4" t="s">
        <v>1331</v>
      </c>
      <c r="I149" s="12" t="s">
        <v>42</v>
      </c>
      <c r="J149" s="4" t="s">
        <v>1332</v>
      </c>
      <c r="K149" s="13"/>
    </row>
    <row r="150" ht="22.5" customHeight="1">
      <c r="A150" s="4" t="s">
        <v>1333</v>
      </c>
      <c r="B150" s="14" t="str">
        <f t="shared" si="1"/>
        <v>Burkhard, Hans Konrad (1613-1681)</v>
      </c>
      <c r="C150" s="4" t="s">
        <v>1334</v>
      </c>
      <c r="D150" s="4" t="s">
        <v>1263</v>
      </c>
      <c r="E150" s="8">
        <v>1613.0</v>
      </c>
      <c r="F150" s="8">
        <v>1681.0</v>
      </c>
      <c r="G150" s="4" t="s">
        <v>1335</v>
      </c>
      <c r="H150" s="4" t="s">
        <v>1336</v>
      </c>
      <c r="I150" s="12" t="s">
        <v>42</v>
      </c>
      <c r="J150" s="4" t="s">
        <v>1337</v>
      </c>
      <c r="K150" s="13"/>
    </row>
    <row r="151" ht="22.5" customHeight="1">
      <c r="A151" s="4" t="s">
        <v>1338</v>
      </c>
      <c r="B151" s="14" t="str">
        <f t="shared" si="1"/>
        <v>Ardüser, Johann (1585-1665)</v>
      </c>
      <c r="C151" s="4" t="s">
        <v>1339</v>
      </c>
      <c r="D151" s="4" t="s">
        <v>333</v>
      </c>
      <c r="E151" s="8">
        <v>1585.0</v>
      </c>
      <c r="F151" s="8">
        <v>1665.0</v>
      </c>
      <c r="G151" s="4" t="s">
        <v>1340</v>
      </c>
      <c r="H151" s="4" t="s">
        <v>1341</v>
      </c>
      <c r="I151" s="12" t="s">
        <v>42</v>
      </c>
      <c r="J151" s="28" t="s">
        <v>1342</v>
      </c>
      <c r="K151" s="13"/>
    </row>
    <row r="152" ht="22.5" customHeight="1">
      <c r="A152" s="4" t="s">
        <v>1343</v>
      </c>
      <c r="B152" s="14" t="str">
        <f t="shared" si="1"/>
        <v>Hegner, Diethelm </v>
      </c>
      <c r="C152" s="4" t="s">
        <v>1344</v>
      </c>
      <c r="D152" s="4" t="s">
        <v>1345</v>
      </c>
      <c r="E152" s="26"/>
      <c r="F152" s="26"/>
      <c r="G152" s="4" t="s">
        <v>1346</v>
      </c>
      <c r="H152" s="4" t="s">
        <v>1347</v>
      </c>
      <c r="I152" s="12" t="s">
        <v>42</v>
      </c>
      <c r="J152" s="13"/>
      <c r="K152" s="13"/>
    </row>
    <row r="153" ht="22.5" customHeight="1">
      <c r="A153" s="4" t="s">
        <v>1348</v>
      </c>
      <c r="B153" s="14" t="str">
        <f t="shared" si="1"/>
        <v>Trigland, Jacobus (1583-1654)</v>
      </c>
      <c r="C153" s="4" t="s">
        <v>1349</v>
      </c>
      <c r="D153" s="4" t="s">
        <v>1350</v>
      </c>
      <c r="E153" s="27">
        <v>1583.0</v>
      </c>
      <c r="F153" s="27">
        <v>1654.0</v>
      </c>
      <c r="G153" s="4" t="s">
        <v>1351</v>
      </c>
      <c r="H153" s="4" t="s">
        <v>1352</v>
      </c>
      <c r="I153" s="12" t="s">
        <v>42</v>
      </c>
      <c r="J153" s="13"/>
      <c r="K153" s="13"/>
    </row>
    <row r="154" ht="22.5" customHeight="1">
      <c r="A154" s="4" t="s">
        <v>1353</v>
      </c>
      <c r="B154" s="14" t="str">
        <f t="shared" si="1"/>
        <v>Zwinger, Theodor (?) (1597-1654)</v>
      </c>
      <c r="C154" s="4" t="s">
        <v>1354</v>
      </c>
      <c r="D154" s="4" t="s">
        <v>1355</v>
      </c>
      <c r="E154" s="8">
        <v>1597.0</v>
      </c>
      <c r="F154" s="8">
        <v>1654.0</v>
      </c>
      <c r="G154" s="7" t="s">
        <v>1356</v>
      </c>
      <c r="H154" s="4" t="s">
        <v>1357</v>
      </c>
      <c r="I154" s="12" t="s">
        <v>42</v>
      </c>
      <c r="J154" s="16" t="s">
        <v>1358</v>
      </c>
      <c r="K154" s="4"/>
    </row>
    <row r="155" ht="22.5" customHeight="1">
      <c r="A155" s="4" t="s">
        <v>1359</v>
      </c>
      <c r="B155" s="14" t="str">
        <f t="shared" si="1"/>
        <v>Genath, Johann Jacob (1582-1654)</v>
      </c>
      <c r="C155" s="4" t="s">
        <v>1360</v>
      </c>
      <c r="D155" s="4" t="s">
        <v>1361</v>
      </c>
      <c r="E155" s="8">
        <v>1582.0</v>
      </c>
      <c r="F155" s="8">
        <v>1654.0</v>
      </c>
      <c r="G155" s="4" t="s">
        <v>1362</v>
      </c>
      <c r="H155" s="4" t="s">
        <v>1363</v>
      </c>
      <c r="I155" s="12" t="s">
        <v>42</v>
      </c>
      <c r="J155" s="13"/>
      <c r="K155" s="13"/>
    </row>
    <row r="156" ht="22.5" customHeight="1">
      <c r="A156" s="4" t="s">
        <v>1364</v>
      </c>
      <c r="B156" s="14" t="str">
        <f t="shared" si="1"/>
        <v>Escher vom Luchs‏, Johannes (‎1646-1659)</v>
      </c>
      <c r="C156" s="4" t="s">
        <v>1365</v>
      </c>
      <c r="D156" s="4" t="s">
        <v>378</v>
      </c>
      <c r="E156" s="26" t="s">
        <v>1366</v>
      </c>
      <c r="F156" s="8">
        <v>1659.0</v>
      </c>
      <c r="G156" s="13"/>
      <c r="H156" s="4" t="s">
        <v>1367</v>
      </c>
      <c r="I156" s="12" t="s">
        <v>42</v>
      </c>
      <c r="J156" s="16" t="s">
        <v>1368</v>
      </c>
      <c r="K156" s="13"/>
    </row>
    <row r="157" ht="22.5" customHeight="1">
      <c r="A157" s="4" t="s">
        <v>1369</v>
      </c>
      <c r="B157" s="14" t="str">
        <f t="shared" si="1"/>
        <v>Heß, Caspar (1578-1631)</v>
      </c>
      <c r="C157" s="4" t="s">
        <v>1370</v>
      </c>
      <c r="D157" s="4" t="s">
        <v>1371</v>
      </c>
      <c r="E157" s="8">
        <v>1578.0</v>
      </c>
      <c r="F157" s="8">
        <v>1631.0</v>
      </c>
      <c r="G157" s="4" t="s">
        <v>1372</v>
      </c>
      <c r="H157" s="4" t="s">
        <v>1373</v>
      </c>
      <c r="I157" s="12" t="s">
        <v>42</v>
      </c>
      <c r="J157" s="16" t="s">
        <v>1374</v>
      </c>
      <c r="K157" s="13"/>
    </row>
    <row r="158" ht="22.5" customHeight="1">
      <c r="A158" s="4" t="s">
        <v>1375</v>
      </c>
      <c r="B158" s="14" t="str">
        <f t="shared" si="1"/>
        <v>Wolf, Johann Jakob (1601-1641)</v>
      </c>
      <c r="C158" s="4" t="s">
        <v>1289</v>
      </c>
      <c r="D158" s="4" t="s">
        <v>107</v>
      </c>
      <c r="E158" s="8">
        <v>1601.0</v>
      </c>
      <c r="F158" s="8">
        <v>1641.0</v>
      </c>
      <c r="G158" s="4" t="s">
        <v>1376</v>
      </c>
      <c r="H158" s="4" t="s">
        <v>1377</v>
      </c>
      <c r="I158" s="12" t="s">
        <v>42</v>
      </c>
      <c r="J158" s="16" t="s">
        <v>1378</v>
      </c>
      <c r="K158" s="13"/>
    </row>
    <row r="159" ht="22.5" customHeight="1">
      <c r="A159" s="4" t="s">
        <v>1379</v>
      </c>
      <c r="B159" s="14" t="str">
        <f t="shared" si="1"/>
        <v>Spoerri, Felix (1581-1643)</v>
      </c>
      <c r="C159" s="4" t="s">
        <v>1380</v>
      </c>
      <c r="D159" s="4" t="s">
        <v>272</v>
      </c>
      <c r="E159" s="8">
        <v>1581.0</v>
      </c>
      <c r="F159" s="8">
        <v>1643.0</v>
      </c>
      <c r="G159" s="4" t="s">
        <v>1381</v>
      </c>
      <c r="H159" s="4" t="s">
        <v>1382</v>
      </c>
      <c r="I159" s="12" t="s">
        <v>42</v>
      </c>
      <c r="J159" s="41" t="s">
        <v>1383</v>
      </c>
      <c r="K159" s="4" t="s">
        <v>1384</v>
      </c>
    </row>
    <row r="160" ht="22.5" customHeight="1">
      <c r="A160" s="4" t="s">
        <v>1385</v>
      </c>
      <c r="B160" s="14" t="str">
        <f t="shared" si="1"/>
        <v>Simler, Peter (1604-1654)</v>
      </c>
      <c r="C160" s="15" t="s">
        <v>35</v>
      </c>
      <c r="D160" s="4" t="s">
        <v>1386</v>
      </c>
      <c r="E160" s="8">
        <v>1604.0</v>
      </c>
      <c r="F160" s="8">
        <v>1654.0</v>
      </c>
      <c r="G160" s="13"/>
      <c r="H160" s="4" t="s">
        <v>1387</v>
      </c>
      <c r="I160" s="12" t="s">
        <v>42</v>
      </c>
      <c r="J160" s="37" t="s">
        <v>1388</v>
      </c>
      <c r="K160" s="13"/>
    </row>
    <row r="161" ht="22.5" customHeight="1">
      <c r="A161" s="4" t="s">
        <v>1389</v>
      </c>
      <c r="B161" s="14" t="str">
        <f t="shared" si="1"/>
        <v>Gwalther, Rudolf (1519-1586)</v>
      </c>
      <c r="C161" s="15" t="s">
        <v>1390</v>
      </c>
      <c r="D161" s="4" t="s">
        <v>412</v>
      </c>
      <c r="E161" s="8">
        <v>1519.0</v>
      </c>
      <c r="F161" s="8">
        <v>1586.0</v>
      </c>
      <c r="G161" s="4" t="s">
        <v>1391</v>
      </c>
      <c r="H161" s="4" t="s">
        <v>1392</v>
      </c>
      <c r="I161" s="12" t="s">
        <v>42</v>
      </c>
      <c r="J161" s="29" t="s">
        <v>1393</v>
      </c>
      <c r="K161" s="13"/>
    </row>
    <row r="162" ht="22.5" customHeight="1">
      <c r="A162" s="4" t="s">
        <v>1394</v>
      </c>
      <c r="B162" s="14" t="str">
        <f t="shared" si="1"/>
        <v>Wyss, Caspar (1605-1659)</v>
      </c>
      <c r="C162" s="15" t="s">
        <v>270</v>
      </c>
      <c r="D162" s="4" t="s">
        <v>1371</v>
      </c>
      <c r="E162" s="8">
        <v>1605.0</v>
      </c>
      <c r="F162" s="8">
        <v>1659.0</v>
      </c>
      <c r="G162" s="4" t="s">
        <v>1395</v>
      </c>
      <c r="H162" s="4" t="s">
        <v>1396</v>
      </c>
      <c r="I162" s="12" t="s">
        <v>42</v>
      </c>
      <c r="J162" s="4" t="s">
        <v>1397</v>
      </c>
      <c r="K162" s="13"/>
    </row>
    <row r="163" ht="22.5" customHeight="1">
      <c r="A163" s="4" t="s">
        <v>1398</v>
      </c>
      <c r="B163" s="14" t="str">
        <f t="shared" si="1"/>
        <v>Gw., H. H. J.</v>
      </c>
      <c r="C163" s="15" t="s">
        <v>1399</v>
      </c>
      <c r="D163" s="4" t="s">
        <v>1400</v>
      </c>
      <c r="E163" s="42"/>
      <c r="F163" s="20"/>
      <c r="G163" s="13"/>
      <c r="H163" s="4" t="s">
        <v>1401</v>
      </c>
      <c r="I163" s="12" t="s">
        <v>42</v>
      </c>
      <c r="J163" s="13"/>
      <c r="K163" s="16" t="s">
        <v>1402</v>
      </c>
    </row>
    <row r="164" ht="22.5" customHeight="1">
      <c r="A164" s="4" t="s">
        <v>1403</v>
      </c>
      <c r="B164" s="14" t="str">
        <f t="shared" si="1"/>
        <v>Hofmeister, Johann (‎1622-‎1656‎)</v>
      </c>
      <c r="C164" s="15" t="s">
        <v>1404</v>
      </c>
      <c r="D164" s="4" t="s">
        <v>333</v>
      </c>
      <c r="E164" s="26" t="s">
        <v>1405</v>
      </c>
      <c r="F164" s="26" t="s">
        <v>1406</v>
      </c>
      <c r="G164" s="13"/>
      <c r="H164" s="4" t="s">
        <v>1407</v>
      </c>
      <c r="I164" s="12" t="s">
        <v>42</v>
      </c>
      <c r="J164" s="21" t="s">
        <v>1408</v>
      </c>
      <c r="K164" s="13"/>
    </row>
    <row r="165" ht="22.5" customHeight="1">
      <c r="A165" s="4" t="s">
        <v>1409</v>
      </c>
      <c r="B165" s="14" t="str">
        <f t="shared" si="1"/>
        <v>Kyrene, Simon von</v>
      </c>
      <c r="C165" s="15" t="s">
        <v>1410</v>
      </c>
      <c r="D165" s="4" t="s">
        <v>1411</v>
      </c>
      <c r="E165" s="42"/>
      <c r="F165" s="20"/>
      <c r="G165" s="4" t="s">
        <v>1412</v>
      </c>
      <c r="H165" s="4" t="s">
        <v>679</v>
      </c>
      <c r="I165" s="12" t="s">
        <v>679</v>
      </c>
      <c r="J165" s="21" t="s">
        <v>1413</v>
      </c>
      <c r="K165" s="13"/>
    </row>
    <row r="166" ht="22.5" customHeight="1">
      <c r="A166" s="4" t="s">
        <v>1414</v>
      </c>
      <c r="B166" s="14" t="str">
        <f t="shared" si="1"/>
        <v>Thomas</v>
      </c>
      <c r="C166" s="15" t="s">
        <v>1415</v>
      </c>
      <c r="D166" s="4"/>
      <c r="E166" s="42"/>
      <c r="F166" s="20"/>
      <c r="G166" s="4" t="s">
        <v>1416</v>
      </c>
      <c r="H166" s="4" t="s">
        <v>867</v>
      </c>
      <c r="I166" s="12" t="s">
        <v>679</v>
      </c>
      <c r="J166" s="13"/>
      <c r="K166" s="13"/>
    </row>
    <row r="167" ht="22.5" customHeight="1">
      <c r="A167" s="4" t="s">
        <v>1417</v>
      </c>
      <c r="B167" s="14" t="str">
        <f t="shared" si="1"/>
        <v>Phaeton</v>
      </c>
      <c r="C167" s="15" t="s">
        <v>1418</v>
      </c>
      <c r="D167" s="4"/>
      <c r="E167" s="42"/>
      <c r="F167" s="20"/>
      <c r="G167" s="4" t="s">
        <v>1419</v>
      </c>
      <c r="H167" s="4" t="s">
        <v>1420</v>
      </c>
      <c r="I167" s="12" t="s">
        <v>626</v>
      </c>
      <c r="J167" s="13"/>
      <c r="K167" s="13"/>
    </row>
    <row r="168" ht="22.5" customHeight="1">
      <c r="A168" s="4" t="s">
        <v>1421</v>
      </c>
      <c r="B168" s="14" t="str">
        <f t="shared" si="1"/>
        <v>Lukas</v>
      </c>
      <c r="C168" s="15" t="s">
        <v>1422</v>
      </c>
      <c r="D168" s="4"/>
      <c r="E168" s="42"/>
      <c r="F168" s="20"/>
      <c r="G168" s="15" t="s">
        <v>1423</v>
      </c>
      <c r="H168" s="4" t="s">
        <v>926</v>
      </c>
      <c r="I168" s="12" t="s">
        <v>679</v>
      </c>
      <c r="J168" s="13"/>
      <c r="K168" s="13"/>
    </row>
    <row r="169" ht="22.5" customHeight="1">
      <c r="A169" s="4" t="s">
        <v>1424</v>
      </c>
      <c r="B169" s="14" t="str">
        <f t="shared" si="1"/>
        <v>Athena</v>
      </c>
      <c r="C169" s="15" t="s">
        <v>1425</v>
      </c>
      <c r="D169" s="4"/>
      <c r="E169" s="42"/>
      <c r="F169" s="20"/>
      <c r="G169" s="4" t="s">
        <v>1426</v>
      </c>
      <c r="H169" s="4" t="s">
        <v>1427</v>
      </c>
      <c r="I169" s="12" t="s">
        <v>626</v>
      </c>
      <c r="J169" s="13"/>
      <c r="K169" s="13"/>
    </row>
    <row r="170" ht="22.5" customHeight="1">
      <c r="A170" s="4" t="s">
        <v>1428</v>
      </c>
      <c r="B170" s="14" t="str">
        <f t="shared" si="1"/>
        <v>Bacchus</v>
      </c>
      <c r="C170" s="15" t="s">
        <v>1429</v>
      </c>
      <c r="D170" s="4"/>
      <c r="E170" s="42"/>
      <c r="F170" s="20"/>
      <c r="G170" s="4" t="s">
        <v>1430</v>
      </c>
      <c r="H170" s="4" t="s">
        <v>1431</v>
      </c>
      <c r="I170" s="12" t="s">
        <v>626</v>
      </c>
      <c r="J170" s="13"/>
      <c r="K170" s="13"/>
    </row>
    <row r="171" ht="22.5" customHeight="1">
      <c r="A171" s="4" t="s">
        <v>1432</v>
      </c>
      <c r="B171" s="14" t="str">
        <f t="shared" si="1"/>
        <v>Darius I.</v>
      </c>
      <c r="C171" s="15" t="s">
        <v>1433</v>
      </c>
      <c r="D171" s="4"/>
      <c r="E171" s="42"/>
      <c r="F171" s="20"/>
      <c r="G171" s="4" t="s">
        <v>1434</v>
      </c>
      <c r="H171" s="4" t="s">
        <v>1435</v>
      </c>
      <c r="I171" s="12" t="s">
        <v>42</v>
      </c>
      <c r="J171" s="13"/>
      <c r="K171" s="13"/>
    </row>
    <row r="172" ht="22.5" customHeight="1">
      <c r="A172" s="4" t="s">
        <v>1436</v>
      </c>
      <c r="B172" s="14" t="str">
        <f t="shared" si="1"/>
        <v>Kyros II.</v>
      </c>
      <c r="C172" s="15" t="s">
        <v>1437</v>
      </c>
      <c r="D172" s="4"/>
      <c r="E172" s="42"/>
      <c r="F172" s="20"/>
      <c r="G172" s="4" t="s">
        <v>1438</v>
      </c>
      <c r="H172" s="4" t="s">
        <v>1435</v>
      </c>
      <c r="I172" s="12" t="s">
        <v>42</v>
      </c>
      <c r="J172" s="13"/>
      <c r="K172" s="13"/>
    </row>
    <row r="173" ht="22.5" customHeight="1">
      <c r="A173" s="4" t="s">
        <v>1439</v>
      </c>
      <c r="B173" s="14" t="str">
        <f t="shared" si="1"/>
        <v>Augustinus, Aurelius (354-430)</v>
      </c>
      <c r="C173" s="15" t="s">
        <v>1440</v>
      </c>
      <c r="D173" s="4" t="s">
        <v>1441</v>
      </c>
      <c r="E173" s="8">
        <v>354.0</v>
      </c>
      <c r="F173" s="8">
        <v>430.0</v>
      </c>
      <c r="G173" s="4" t="s">
        <v>1442</v>
      </c>
      <c r="H173" s="4" t="s">
        <v>1443</v>
      </c>
      <c r="I173" s="12" t="s">
        <v>42</v>
      </c>
      <c r="J173" s="16" t="s">
        <v>1444</v>
      </c>
      <c r="K173" s="13"/>
    </row>
    <row r="174" ht="22.5" customHeight="1">
      <c r="A174" s="4" t="s">
        <v>1445</v>
      </c>
      <c r="B174" s="14" t="str">
        <f t="shared" si="1"/>
        <v>Lazarus</v>
      </c>
      <c r="C174" s="15" t="s">
        <v>1446</v>
      </c>
      <c r="D174" s="4"/>
      <c r="E174" s="42"/>
      <c r="F174" s="20"/>
      <c r="G174" s="4" t="s">
        <v>1447</v>
      </c>
      <c r="H174" s="4" t="s">
        <v>1448</v>
      </c>
      <c r="I174" s="12" t="s">
        <v>679</v>
      </c>
      <c r="J174" s="13"/>
      <c r="K174" s="13"/>
    </row>
    <row r="175" ht="22.5" customHeight="1">
      <c r="A175" s="4" t="s">
        <v>1449</v>
      </c>
      <c r="B175" s="14" t="str">
        <f t="shared" si="1"/>
        <v>Lot</v>
      </c>
      <c r="C175" s="15" t="s">
        <v>1450</v>
      </c>
      <c r="D175" s="4"/>
      <c r="E175" s="42"/>
      <c r="F175" s="20"/>
      <c r="G175" s="4" t="s">
        <v>1451</v>
      </c>
      <c r="H175" s="4" t="s">
        <v>1452</v>
      </c>
      <c r="I175" s="12" t="s">
        <v>679</v>
      </c>
      <c r="J175" s="13"/>
      <c r="K175" s="13"/>
    </row>
    <row r="176" ht="22.5" customHeight="1">
      <c r="A176" s="4" t="s">
        <v>1453</v>
      </c>
      <c r="B176" s="14" t="str">
        <f t="shared" si="1"/>
        <v>Gyger, Johann Rudolf (1603-1662)</v>
      </c>
      <c r="C176" s="15" t="s">
        <v>1454</v>
      </c>
      <c r="D176" s="4" t="s">
        <v>1455</v>
      </c>
      <c r="E176" s="8">
        <v>1603.0</v>
      </c>
      <c r="F176" s="8">
        <v>1662.0</v>
      </c>
      <c r="G176" s="4" t="s">
        <v>1456</v>
      </c>
      <c r="H176" s="4" t="s">
        <v>1457</v>
      </c>
      <c r="I176" s="12" t="s">
        <v>42</v>
      </c>
      <c r="J176" s="13"/>
      <c r="K176" s="13"/>
    </row>
    <row r="177" ht="22.5" customHeight="1">
      <c r="A177" s="4" t="s">
        <v>1458</v>
      </c>
      <c r="B177" s="14" t="str">
        <f t="shared" si="1"/>
        <v>Simler, Johann Wilhelm (16XX-1690)</v>
      </c>
      <c r="C177" s="15" t="s">
        <v>35</v>
      </c>
      <c r="D177" s="4" t="s">
        <v>36</v>
      </c>
      <c r="E177" s="26" t="s">
        <v>1459</v>
      </c>
      <c r="F177" s="8">
        <v>1690.0</v>
      </c>
      <c r="G177" s="4" t="s">
        <v>1460</v>
      </c>
      <c r="H177" s="4" t="s">
        <v>1461</v>
      </c>
      <c r="I177" s="12" t="s">
        <v>42</v>
      </c>
      <c r="J177" s="13"/>
      <c r="K177" s="13"/>
    </row>
    <row r="178" ht="22.5" customHeight="1">
      <c r="A178" s="4" t="s">
        <v>1462</v>
      </c>
      <c r="B178" s="14" t="str">
        <f t="shared" si="1"/>
        <v>Bachofen, Johann Ulrich (1643-1700)</v>
      </c>
      <c r="C178" s="15" t="s">
        <v>1463</v>
      </c>
      <c r="D178" s="4" t="s">
        <v>1464</v>
      </c>
      <c r="E178" s="8">
        <v>1643.0</v>
      </c>
      <c r="F178" s="8">
        <v>1700.0</v>
      </c>
      <c r="G178" s="4" t="s">
        <v>1465</v>
      </c>
      <c r="H178" s="4" t="s">
        <v>1466</v>
      </c>
      <c r="I178" s="12" t="s">
        <v>42</v>
      </c>
      <c r="J178" s="29" t="s">
        <v>1467</v>
      </c>
      <c r="K178" s="13"/>
    </row>
    <row r="179" ht="22.5" customHeight="1">
      <c r="A179" s="4" t="s">
        <v>1468</v>
      </c>
      <c r="B179" s="14" t="str">
        <f t="shared" si="1"/>
        <v>Grebel, Hans Konrad (1615-1674)</v>
      </c>
      <c r="C179" s="15" t="s">
        <v>1469</v>
      </c>
      <c r="D179" s="4" t="s">
        <v>1263</v>
      </c>
      <c r="E179" s="8">
        <v>1615.0</v>
      </c>
      <c r="F179" s="8">
        <v>1674.0</v>
      </c>
      <c r="G179" s="4" t="s">
        <v>1470</v>
      </c>
      <c r="H179" s="4" t="s">
        <v>1471</v>
      </c>
      <c r="I179" s="12" t="s">
        <v>42</v>
      </c>
      <c r="J179" s="21" t="s">
        <v>1472</v>
      </c>
      <c r="K179" s="13"/>
    </row>
    <row r="180" ht="22.5" customHeight="1">
      <c r="A180" s="4" t="s">
        <v>1473</v>
      </c>
      <c r="B180" s="14" t="str">
        <f t="shared" si="1"/>
        <v>Gossweiler, Emerentia (1620-‎1686)</v>
      </c>
      <c r="C180" s="15" t="s">
        <v>1474</v>
      </c>
      <c r="D180" s="4" t="s">
        <v>1475</v>
      </c>
      <c r="E180" s="8">
        <v>1620.0</v>
      </c>
      <c r="F180" s="26" t="s">
        <v>1476</v>
      </c>
      <c r="G180" s="13"/>
      <c r="H180" s="4" t="s">
        <v>1477</v>
      </c>
      <c r="I180" s="12" t="s">
        <v>42</v>
      </c>
      <c r="J180" s="16" t="s">
        <v>1478</v>
      </c>
      <c r="K180" s="13"/>
    </row>
    <row r="181" ht="22.5" customHeight="1">
      <c r="A181" s="4" t="s">
        <v>1479</v>
      </c>
      <c r="B181" s="14" t="str">
        <f t="shared" si="1"/>
        <v>Lochmann, Heinrich (1613-1667)</v>
      </c>
      <c r="C181" s="15" t="s">
        <v>1480</v>
      </c>
      <c r="D181" s="4" t="s">
        <v>130</v>
      </c>
      <c r="E181" s="27">
        <v>1613.0</v>
      </c>
      <c r="F181" s="8">
        <v>1667.0</v>
      </c>
      <c r="G181" s="4" t="s">
        <v>1481</v>
      </c>
      <c r="H181" s="4" t="s">
        <v>1482</v>
      </c>
      <c r="I181" s="12" t="s">
        <v>42</v>
      </c>
      <c r="J181" s="21" t="s">
        <v>1483</v>
      </c>
      <c r="K181" s="13"/>
    </row>
    <row r="182" ht="22.5" customHeight="1">
      <c r="A182" s="4" t="s">
        <v>1484</v>
      </c>
      <c r="B182" s="14" t="str">
        <f t="shared" si="1"/>
        <v>Ulrich, Johann Jakob (1602-1668)</v>
      </c>
      <c r="C182" s="15" t="s">
        <v>1485</v>
      </c>
      <c r="D182" s="4" t="s">
        <v>107</v>
      </c>
      <c r="E182" s="8">
        <v>1602.0</v>
      </c>
      <c r="F182" s="8">
        <v>1668.0</v>
      </c>
      <c r="G182" s="4" t="s">
        <v>1486</v>
      </c>
      <c r="H182" s="4" t="s">
        <v>1487</v>
      </c>
      <c r="I182" s="12" t="s">
        <v>42</v>
      </c>
      <c r="J182" s="16" t="s">
        <v>1488</v>
      </c>
      <c r="K182" s="13"/>
    </row>
    <row r="183" ht="22.5" customHeight="1">
      <c r="A183" s="4" t="s">
        <v>1489</v>
      </c>
      <c r="B183" s="14" t="str">
        <f t="shared" si="1"/>
        <v>Orelli, Anna (1606-1681)</v>
      </c>
      <c r="C183" s="15" t="s">
        <v>1490</v>
      </c>
      <c r="D183" s="4" t="s">
        <v>1491</v>
      </c>
      <c r="E183" s="8">
        <v>1606.0</v>
      </c>
      <c r="F183" s="8">
        <v>1681.0</v>
      </c>
      <c r="G183" s="13"/>
      <c r="H183" s="4" t="s">
        <v>1492</v>
      </c>
      <c r="I183" s="12" t="s">
        <v>42</v>
      </c>
      <c r="J183" s="16" t="s">
        <v>1493</v>
      </c>
      <c r="K183" s="13"/>
    </row>
    <row r="184" ht="22.5" customHeight="1">
      <c r="A184" s="4" t="s">
        <v>1494</v>
      </c>
      <c r="B184" s="14" t="str">
        <f t="shared" si="1"/>
        <v>Eberhard, Hans Kaspar (1645-1723)</v>
      </c>
      <c r="C184" s="15" t="s">
        <v>1495</v>
      </c>
      <c r="D184" s="4" t="s">
        <v>1496</v>
      </c>
      <c r="E184" s="8">
        <v>1645.0</v>
      </c>
      <c r="F184" s="8">
        <v>1723.0</v>
      </c>
      <c r="G184" s="13"/>
      <c r="H184" s="4" t="s">
        <v>1497</v>
      </c>
      <c r="I184" s="12" t="s">
        <v>42</v>
      </c>
      <c r="J184" s="16" t="s">
        <v>1498</v>
      </c>
      <c r="K184" s="13"/>
    </row>
    <row r="185" ht="22.5" customHeight="1">
      <c r="A185" s="4" t="s">
        <v>1499</v>
      </c>
      <c r="B185" s="14" t="str">
        <f t="shared" si="1"/>
        <v>Hirt‏, Katharina (1644-1717)</v>
      </c>
      <c r="C185" s="15" t="s">
        <v>1500</v>
      </c>
      <c r="D185" s="4" t="s">
        <v>1501</v>
      </c>
      <c r="E185" s="8">
        <v>1644.0</v>
      </c>
      <c r="F185" s="8">
        <v>1717.0</v>
      </c>
      <c r="G185" s="13"/>
      <c r="H185" s="4" t="s">
        <v>1502</v>
      </c>
      <c r="I185" s="12" t="s">
        <v>42</v>
      </c>
      <c r="J185" s="16" t="s">
        <v>1503</v>
      </c>
      <c r="K185" s="13"/>
    </row>
    <row r="186" ht="22.5" customHeight="1">
      <c r="A186" s="4" t="s">
        <v>1504</v>
      </c>
      <c r="B186" s="14" t="str">
        <f t="shared" si="1"/>
        <v>Grob, Johann Jakob (1639-1712)</v>
      </c>
      <c r="C186" s="15" t="s">
        <v>1505</v>
      </c>
      <c r="D186" s="4" t="s">
        <v>107</v>
      </c>
      <c r="E186" s="8">
        <v>1639.0</v>
      </c>
      <c r="F186" s="8">
        <v>1712.0</v>
      </c>
      <c r="G186" s="4" t="s">
        <v>1506</v>
      </c>
      <c r="H186" s="4" t="s">
        <v>1507</v>
      </c>
      <c r="I186" s="12" t="s">
        <v>42</v>
      </c>
      <c r="J186" s="16" t="s">
        <v>1508</v>
      </c>
      <c r="K186" s="13"/>
    </row>
    <row r="187" ht="22.5" customHeight="1">
      <c r="A187" s="4" t="s">
        <v>1509</v>
      </c>
      <c r="B187" s="14" t="str">
        <f t="shared" si="1"/>
        <v>Rahn, Regula (1648-1735‎)</v>
      </c>
      <c r="C187" s="15" t="s">
        <v>221</v>
      </c>
      <c r="D187" s="4" t="s">
        <v>1510</v>
      </c>
      <c r="E187" s="8">
        <v>1648.0</v>
      </c>
      <c r="F187" s="26" t="s">
        <v>1511</v>
      </c>
      <c r="G187" s="13"/>
      <c r="H187" s="4" t="s">
        <v>1512</v>
      </c>
      <c r="I187" s="12" t="s">
        <v>42</v>
      </c>
      <c r="J187" s="16" t="s">
        <v>1513</v>
      </c>
      <c r="K187" s="13"/>
    </row>
    <row r="188" ht="22.5" customHeight="1">
      <c r="A188" s="4" t="s">
        <v>1514</v>
      </c>
      <c r="B188" s="14" t="str">
        <f t="shared" si="1"/>
        <v>Klingler, Kaspar (1642-1677)</v>
      </c>
      <c r="C188" s="15" t="s">
        <v>1515</v>
      </c>
      <c r="D188" s="4" t="s">
        <v>1516</v>
      </c>
      <c r="E188" s="8">
        <v>1642.0</v>
      </c>
      <c r="F188" s="8">
        <v>1677.0</v>
      </c>
      <c r="G188" s="13"/>
      <c r="H188" s="4" t="s">
        <v>1517</v>
      </c>
      <c r="I188" s="12" t="s">
        <v>42</v>
      </c>
      <c r="J188" s="37" t="s">
        <v>1518</v>
      </c>
      <c r="K188" s="13"/>
    </row>
    <row r="189" ht="22.5" customHeight="1">
      <c r="A189" s="4" t="s">
        <v>1519</v>
      </c>
      <c r="B189" s="14" t="str">
        <f t="shared" si="1"/>
        <v>Spöndli, Dorothea (1646-1711)</v>
      </c>
      <c r="C189" s="15" t="s">
        <v>1520</v>
      </c>
      <c r="D189" s="4" t="s">
        <v>1062</v>
      </c>
      <c r="E189" s="8">
        <v>1646.0</v>
      </c>
      <c r="F189" s="8">
        <v>1711.0</v>
      </c>
      <c r="G189" s="13"/>
      <c r="H189" s="4" t="s">
        <v>1521</v>
      </c>
      <c r="I189" s="12" t="s">
        <v>42</v>
      </c>
      <c r="J189" s="16" t="s">
        <v>1522</v>
      </c>
      <c r="K189" s="13"/>
    </row>
    <row r="190" ht="22.5" customHeight="1">
      <c r="A190" s="4" t="s">
        <v>1523</v>
      </c>
      <c r="B190" s="14" t="str">
        <f t="shared" si="1"/>
        <v>Hirzel, Hans Caspar (1617-1691)</v>
      </c>
      <c r="C190" s="15" t="s">
        <v>1524</v>
      </c>
      <c r="D190" s="4" t="s">
        <v>1525</v>
      </c>
      <c r="E190" s="8">
        <v>1617.0</v>
      </c>
      <c r="F190" s="8">
        <v>1691.0</v>
      </c>
      <c r="G190" s="4" t="s">
        <v>1526</v>
      </c>
      <c r="H190" s="4" t="s">
        <v>1527</v>
      </c>
      <c r="I190" s="12" t="s">
        <v>42</v>
      </c>
      <c r="J190" s="21" t="s">
        <v>1528</v>
      </c>
      <c r="K190" s="13"/>
    </row>
    <row r="191" ht="22.5" customHeight="1">
      <c r="A191" s="4" t="s">
        <v>1529</v>
      </c>
      <c r="B191" s="14" t="str">
        <f t="shared" si="1"/>
        <v>Hirzel, Salomon (1580-1652)</v>
      </c>
      <c r="C191" s="15" t="s">
        <v>1524</v>
      </c>
      <c r="D191" s="4" t="s">
        <v>1290</v>
      </c>
      <c r="E191" s="8">
        <v>1580.0</v>
      </c>
      <c r="F191" s="8">
        <v>1652.0</v>
      </c>
      <c r="G191" s="4" t="s">
        <v>1530</v>
      </c>
      <c r="H191" s="4" t="s">
        <v>1531</v>
      </c>
      <c r="I191" s="12" t="s">
        <v>42</v>
      </c>
      <c r="J191" s="21" t="s">
        <v>1532</v>
      </c>
      <c r="K191" s="13"/>
    </row>
    <row r="192" ht="22.5" customHeight="1">
      <c r="A192" s="4" t="s">
        <v>1533</v>
      </c>
      <c r="B192" s="14" t="str">
        <f t="shared" si="1"/>
        <v>Salis-Soglio, Maria Ursina von  (‎1600-1663‎)</v>
      </c>
      <c r="C192" s="15" t="s">
        <v>1534</v>
      </c>
      <c r="D192" s="4" t="s">
        <v>1535</v>
      </c>
      <c r="E192" s="26" t="s">
        <v>1536</v>
      </c>
      <c r="F192" s="43" t="s">
        <v>1537</v>
      </c>
      <c r="G192" s="13"/>
      <c r="H192" s="4" t="s">
        <v>1538</v>
      </c>
      <c r="I192" s="12" t="s">
        <v>42</v>
      </c>
      <c r="J192" s="21" t="s">
        <v>1539</v>
      </c>
      <c r="K192" s="13"/>
    </row>
    <row r="193" ht="22.5" customHeight="1">
      <c r="A193" s="4" t="s">
        <v>1540</v>
      </c>
      <c r="B193" s="14" t="str">
        <f t="shared" si="1"/>
        <v>Brügger, Andreas (1588-1653)</v>
      </c>
      <c r="C193" s="15" t="s">
        <v>1541</v>
      </c>
      <c r="D193" s="4" t="s">
        <v>257</v>
      </c>
      <c r="E193" s="8">
        <v>1588.0</v>
      </c>
      <c r="F193" s="8">
        <v>1653.0</v>
      </c>
      <c r="G193" s="4" t="s">
        <v>1542</v>
      </c>
      <c r="H193" s="4" t="s">
        <v>1543</v>
      </c>
      <c r="I193" s="12" t="s">
        <v>42</v>
      </c>
      <c r="J193" s="21" t="s">
        <v>1544</v>
      </c>
      <c r="K193" s="13"/>
    </row>
    <row r="194" ht="22.5" customHeight="1">
      <c r="A194" s="4" t="s">
        <v>1545</v>
      </c>
      <c r="B194" s="14" t="str">
        <f t="shared" si="1"/>
        <v>Anhorn von Hartwiss, Bartholomaeus (1616-1700)</v>
      </c>
      <c r="C194" s="15" t="s">
        <v>1546</v>
      </c>
      <c r="D194" s="4" t="s">
        <v>1547</v>
      </c>
      <c r="E194" s="8">
        <v>1616.0</v>
      </c>
      <c r="F194" s="8">
        <v>1700.0</v>
      </c>
      <c r="G194" s="4" t="s">
        <v>1548</v>
      </c>
      <c r="H194" s="4" t="s">
        <v>1549</v>
      </c>
      <c r="I194" s="12" t="s">
        <v>42</v>
      </c>
      <c r="J194" s="44" t="s">
        <v>1550</v>
      </c>
      <c r="K194" s="13"/>
    </row>
    <row r="195" ht="22.5" customHeight="1">
      <c r="A195" s="4" t="s">
        <v>1551</v>
      </c>
      <c r="B195" s="14" t="str">
        <f t="shared" si="1"/>
        <v>Wild, Abraham (1628-1689)</v>
      </c>
      <c r="C195" s="15" t="s">
        <v>1552</v>
      </c>
      <c r="D195" s="4" t="s">
        <v>776</v>
      </c>
      <c r="E195" s="8">
        <v>1628.0</v>
      </c>
      <c r="F195" s="8">
        <v>1689.0</v>
      </c>
      <c r="G195" s="4" t="s">
        <v>1553</v>
      </c>
      <c r="H195" s="4" t="s">
        <v>1554</v>
      </c>
      <c r="I195" s="12" t="s">
        <v>42</v>
      </c>
      <c r="J195" s="28" t="s">
        <v>1555</v>
      </c>
      <c r="K195" s="13"/>
    </row>
    <row r="196" ht="22.5" customHeight="1">
      <c r="A196" s="4" t="s">
        <v>1556</v>
      </c>
      <c r="B196" s="14" t="str">
        <f t="shared" si="1"/>
        <v>Grob, Johann (1643-1697)</v>
      </c>
      <c r="C196" s="15" t="s">
        <v>1505</v>
      </c>
      <c r="D196" s="4" t="s">
        <v>333</v>
      </c>
      <c r="E196" s="8">
        <v>1643.0</v>
      </c>
      <c r="F196" s="8">
        <v>1697.0</v>
      </c>
      <c r="G196" s="4" t="s">
        <v>1557</v>
      </c>
      <c r="H196" s="4" t="s">
        <v>1558</v>
      </c>
      <c r="I196" s="12" t="s">
        <v>42</v>
      </c>
      <c r="J196" s="28" t="s">
        <v>1559</v>
      </c>
      <c r="K196" s="4" t="s">
        <v>1560</v>
      </c>
    </row>
    <row r="197" ht="22.5" customHeight="1">
      <c r="A197" s="4" t="s">
        <v>1561</v>
      </c>
      <c r="B197" s="14" t="str">
        <f t="shared" si="1"/>
        <v>Ziegler, Christoph (1628-1708)</v>
      </c>
      <c r="C197" s="15" t="s">
        <v>691</v>
      </c>
      <c r="D197" s="4" t="s">
        <v>1562</v>
      </c>
      <c r="E197" s="8">
        <v>1628.0</v>
      </c>
      <c r="F197" s="8">
        <v>1708.0</v>
      </c>
      <c r="G197" s="13"/>
      <c r="H197" s="4" t="s">
        <v>1563</v>
      </c>
      <c r="I197" s="12" t="s">
        <v>42</v>
      </c>
      <c r="J197" s="16" t="s">
        <v>1564</v>
      </c>
      <c r="K197" s="29" t="s">
        <v>1565</v>
      </c>
    </row>
    <row r="198" ht="22.5" customHeight="1">
      <c r="A198" s="4" t="s">
        <v>1566</v>
      </c>
      <c r="B198" s="14" t="str">
        <f t="shared" si="1"/>
        <v>Werder, Felix (1591-1673)</v>
      </c>
      <c r="C198" s="15" t="s">
        <v>557</v>
      </c>
      <c r="D198" s="4" t="s">
        <v>272</v>
      </c>
      <c r="E198" s="8">
        <v>1591.0</v>
      </c>
      <c r="F198" s="8">
        <v>1673.0</v>
      </c>
      <c r="G198" s="4" t="s">
        <v>1567</v>
      </c>
      <c r="H198" s="4" t="s">
        <v>1568</v>
      </c>
      <c r="I198" s="12" t="s">
        <v>42</v>
      </c>
      <c r="J198" s="13"/>
      <c r="K198" s="13"/>
    </row>
    <row r="199" ht="22.5" customHeight="1">
      <c r="A199" s="4" t="s">
        <v>1569</v>
      </c>
      <c r="B199" s="14" t="str">
        <f t="shared" si="1"/>
        <v>Oeri</v>
      </c>
      <c r="C199" s="15" t="s">
        <v>1570</v>
      </c>
      <c r="D199" s="4"/>
      <c r="E199" s="42"/>
      <c r="F199" s="20"/>
      <c r="G199" s="13"/>
      <c r="H199" s="4" t="s">
        <v>1571</v>
      </c>
      <c r="I199" s="12" t="s">
        <v>42</v>
      </c>
      <c r="J199" s="13"/>
      <c r="K199" s="4" t="s">
        <v>1572</v>
      </c>
    </row>
    <row r="200" ht="22.5" customHeight="1">
      <c r="A200" s="4" t="s">
        <v>1573</v>
      </c>
      <c r="B200" s="14" t="str">
        <f t="shared" si="1"/>
        <v>Keller vom Steinbock‏, Anna Kleophea (‎1609-1673)</v>
      </c>
      <c r="C200" s="15" t="s">
        <v>1574</v>
      </c>
      <c r="D200" s="4" t="s">
        <v>1575</v>
      </c>
      <c r="E200" s="26" t="s">
        <v>1576</v>
      </c>
      <c r="F200" s="8">
        <v>1673.0</v>
      </c>
      <c r="G200" s="13"/>
      <c r="H200" s="4" t="s">
        <v>1577</v>
      </c>
      <c r="I200" s="12" t="s">
        <v>42</v>
      </c>
      <c r="J200" s="21" t="s">
        <v>1578</v>
      </c>
      <c r="K200" s="13"/>
    </row>
    <row r="201" ht="22.5" customHeight="1">
      <c r="A201" s="4" t="s">
        <v>1579</v>
      </c>
      <c r="B201" s="14" t="str">
        <f t="shared" si="1"/>
        <v>von Sulz, Johann Ludwig II. (1626-1687)</v>
      </c>
      <c r="C201" s="15" t="s">
        <v>1580</v>
      </c>
      <c r="D201" s="4" t="s">
        <v>1581</v>
      </c>
      <c r="E201" s="8">
        <v>1626.0</v>
      </c>
      <c r="F201" s="8">
        <v>1687.0</v>
      </c>
      <c r="G201" s="4" t="s">
        <v>1582</v>
      </c>
      <c r="H201" s="4" t="s">
        <v>1583</v>
      </c>
      <c r="I201" s="12" t="s">
        <v>42</v>
      </c>
      <c r="J201" s="21" t="s">
        <v>1584</v>
      </c>
      <c r="K201" s="13"/>
    </row>
    <row r="202" ht="22.5" customHeight="1">
      <c r="A202" s="4" t="s">
        <v>1585</v>
      </c>
      <c r="B202" s="14" t="str">
        <f t="shared" si="1"/>
        <v>Egli, Samuel (1627/29-1666)</v>
      </c>
      <c r="C202" s="15" t="s">
        <v>1586</v>
      </c>
      <c r="D202" s="4" t="s">
        <v>1587</v>
      </c>
      <c r="E202" s="26" t="s">
        <v>1588</v>
      </c>
      <c r="F202" s="8">
        <v>1666.0</v>
      </c>
      <c r="G202" s="13"/>
      <c r="H202" s="4" t="s">
        <v>1589</v>
      </c>
      <c r="I202" s="12" t="s">
        <v>42</v>
      </c>
      <c r="J202" s="16" t="s">
        <v>1590</v>
      </c>
      <c r="K202" s="13"/>
    </row>
    <row r="203" ht="22.5" customHeight="1">
      <c r="A203" s="4" t="s">
        <v>1591</v>
      </c>
      <c r="B203" s="14" t="str">
        <f t="shared" si="1"/>
        <v>von Breitenlandenberg, Wildhans (1410-1444)</v>
      </c>
      <c r="C203" s="15" t="s">
        <v>1592</v>
      </c>
      <c r="D203" s="4" t="s">
        <v>1593</v>
      </c>
      <c r="E203" s="8">
        <v>1410.0</v>
      </c>
      <c r="F203" s="8">
        <v>1444.0</v>
      </c>
      <c r="G203" s="13"/>
      <c r="H203" s="4" t="s">
        <v>1594</v>
      </c>
      <c r="I203" s="12" t="s">
        <v>42</v>
      </c>
      <c r="J203" s="16" t="s">
        <v>1595</v>
      </c>
      <c r="K203" s="13"/>
    </row>
    <row r="204" ht="22.5" customHeight="1">
      <c r="A204" s="4" t="s">
        <v>1596</v>
      </c>
      <c r="B204" s="14" t="str">
        <f t="shared" si="1"/>
        <v>Schmid, Johann Rudolf (1590-1667)</v>
      </c>
      <c r="C204" s="15" t="s">
        <v>1597</v>
      </c>
      <c r="D204" s="4" t="s">
        <v>1455</v>
      </c>
      <c r="E204" s="8">
        <v>1590.0</v>
      </c>
      <c r="F204" s="8">
        <v>1667.0</v>
      </c>
      <c r="G204" s="4" t="s">
        <v>1598</v>
      </c>
      <c r="H204" s="4" t="s">
        <v>1599</v>
      </c>
      <c r="I204" s="12" t="s">
        <v>42</v>
      </c>
      <c r="J204" s="21" t="s">
        <v>1600</v>
      </c>
      <c r="K204" s="13"/>
    </row>
    <row r="205" ht="22.5" customHeight="1">
      <c r="A205" s="4" t="s">
        <v>1601</v>
      </c>
      <c r="B205" s="14" t="str">
        <f t="shared" si="1"/>
        <v>Schmid, Felix (‎1539-1597)</v>
      </c>
      <c r="C205" s="15" t="s">
        <v>1597</v>
      </c>
      <c r="D205" s="4" t="s">
        <v>272</v>
      </c>
      <c r="E205" s="26" t="s">
        <v>1602</v>
      </c>
      <c r="F205" s="8">
        <v>1597.0</v>
      </c>
      <c r="G205" s="13"/>
      <c r="H205" s="4" t="s">
        <v>1603</v>
      </c>
      <c r="I205" s="12" t="s">
        <v>42</v>
      </c>
      <c r="J205" s="16" t="s">
        <v>1604</v>
      </c>
      <c r="K205" s="13"/>
    </row>
    <row r="206" ht="22.5" customHeight="1">
      <c r="A206" s="4" t="s">
        <v>1605</v>
      </c>
      <c r="B206" s="14" t="str">
        <f t="shared" si="1"/>
        <v>Hess, Heinrich (1604-1672)</v>
      </c>
      <c r="C206" s="15" t="s">
        <v>1229</v>
      </c>
      <c r="D206" s="4" t="s">
        <v>130</v>
      </c>
      <c r="E206" s="8">
        <v>1604.0</v>
      </c>
      <c r="F206" s="8">
        <v>1672.0</v>
      </c>
      <c r="G206" s="13"/>
      <c r="H206" s="4" t="s">
        <v>1606</v>
      </c>
      <c r="I206" s="12" t="s">
        <v>42</v>
      </c>
      <c r="J206" s="21" t="s">
        <v>1607</v>
      </c>
      <c r="K206" s="13"/>
    </row>
    <row r="207" ht="22.5" customHeight="1">
      <c r="A207" s="4" t="s">
        <v>1608</v>
      </c>
      <c r="B207" s="14" t="str">
        <f t="shared" si="1"/>
        <v>Ulrich, Hans Heinrich (1617-1669)</v>
      </c>
      <c r="C207" s="15" t="s">
        <v>1485</v>
      </c>
      <c r="D207" s="4" t="s">
        <v>223</v>
      </c>
      <c r="E207" s="8">
        <v>1617.0</v>
      </c>
      <c r="F207" s="8">
        <v>1669.0</v>
      </c>
      <c r="G207" s="13"/>
      <c r="H207" s="4" t="s">
        <v>1609</v>
      </c>
      <c r="I207" s="12" t="s">
        <v>42</v>
      </c>
      <c r="J207" s="4" t="s">
        <v>1610</v>
      </c>
      <c r="K207" s="13"/>
    </row>
    <row r="208" ht="22.5" customHeight="1">
      <c r="A208" s="4" t="s">
        <v>1611</v>
      </c>
      <c r="B208" s="14" t="str">
        <f t="shared" si="1"/>
        <v>Müller, Johann Leonhard (1627-1674)</v>
      </c>
      <c r="C208" s="15" t="s">
        <v>202</v>
      </c>
      <c r="D208" s="4" t="s">
        <v>1612</v>
      </c>
      <c r="E208" s="8">
        <v>1627.0</v>
      </c>
      <c r="F208" s="8">
        <v>1674.0</v>
      </c>
      <c r="G208" s="4" t="s">
        <v>1613</v>
      </c>
      <c r="H208" s="4" t="s">
        <v>1614</v>
      </c>
      <c r="I208" s="12" t="s">
        <v>42</v>
      </c>
      <c r="J208" s="16" t="s">
        <v>1615</v>
      </c>
      <c r="K208" s="13"/>
    </row>
    <row r="209" ht="22.5" customHeight="1">
      <c r="A209" s="4" t="s">
        <v>1616</v>
      </c>
      <c r="B209" s="14" t="str">
        <f t="shared" si="1"/>
        <v>Müller, Hans Caspar (1594-1666)</v>
      </c>
      <c r="C209" s="15" t="s">
        <v>202</v>
      </c>
      <c r="D209" s="4" t="s">
        <v>1525</v>
      </c>
      <c r="E209" s="27">
        <v>1594.0</v>
      </c>
      <c r="F209" s="27">
        <v>1666.0</v>
      </c>
      <c r="G209" s="15" t="s">
        <v>1617</v>
      </c>
      <c r="H209" s="4" t="s">
        <v>1618</v>
      </c>
      <c r="I209" s="12" t="s">
        <v>42</v>
      </c>
      <c r="J209" s="21" t="s">
        <v>1619</v>
      </c>
      <c r="K209" s="13"/>
    </row>
    <row r="210" ht="22.5" customHeight="1">
      <c r="A210" s="4" t="s">
        <v>1620</v>
      </c>
      <c r="B210" s="14" t="str">
        <f t="shared" si="1"/>
        <v>Locher, Hans Melchior</v>
      </c>
      <c r="C210" s="15" t="s">
        <v>1621</v>
      </c>
      <c r="D210" s="4" t="s">
        <v>1622</v>
      </c>
      <c r="E210" s="42"/>
      <c r="F210" s="20"/>
      <c r="G210" s="13"/>
      <c r="H210" s="4" t="s">
        <v>1623</v>
      </c>
      <c r="I210" s="12" t="s">
        <v>42</v>
      </c>
      <c r="J210" s="16" t="s">
        <v>1624</v>
      </c>
      <c r="K210" s="4" t="s">
        <v>1625</v>
      </c>
    </row>
    <row r="211" ht="22.5" customHeight="1">
      <c r="A211" s="4" t="s">
        <v>1626</v>
      </c>
      <c r="B211" s="14" t="str">
        <f t="shared" si="1"/>
        <v>Caspar</v>
      </c>
      <c r="C211" s="15" t="s">
        <v>1371</v>
      </c>
      <c r="D211" s="4"/>
      <c r="E211" s="42"/>
      <c r="F211" s="20"/>
      <c r="G211" s="15" t="s">
        <v>1627</v>
      </c>
      <c r="H211" s="4" t="s">
        <v>1628</v>
      </c>
      <c r="I211" s="12" t="s">
        <v>679</v>
      </c>
      <c r="J211" s="13"/>
      <c r="K211" s="13"/>
    </row>
    <row r="212" ht="22.5" customHeight="1">
      <c r="A212" s="4" t="s">
        <v>1629</v>
      </c>
      <c r="B212" s="14" t="str">
        <f t="shared" si="1"/>
        <v>Heinrich</v>
      </c>
      <c r="C212" s="15" t="s">
        <v>130</v>
      </c>
      <c r="D212" s="4"/>
      <c r="E212" s="42"/>
      <c r="F212" s="20"/>
      <c r="G212" s="13"/>
      <c r="H212" s="4" t="s">
        <v>1630</v>
      </c>
      <c r="I212" s="12" t="s">
        <v>42</v>
      </c>
      <c r="J212" s="13"/>
      <c r="K212" s="4" t="s">
        <v>1572</v>
      </c>
    </row>
    <row r="213" ht="22.5" customHeight="1">
      <c r="A213" s="4" t="s">
        <v>1631</v>
      </c>
      <c r="B213" s="14" t="str">
        <f t="shared" si="1"/>
        <v>O., Jacob U.</v>
      </c>
      <c r="C213" s="15" t="s">
        <v>1632</v>
      </c>
      <c r="D213" s="4" t="s">
        <v>1633</v>
      </c>
      <c r="E213" s="42"/>
      <c r="F213" s="20"/>
      <c r="G213" s="13"/>
      <c r="H213" s="4" t="s">
        <v>1634</v>
      </c>
      <c r="I213" s="12" t="s">
        <v>42</v>
      </c>
      <c r="J213" s="16" t="s">
        <v>1635</v>
      </c>
      <c r="K213" s="4" t="s">
        <v>1636</v>
      </c>
    </row>
    <row r="214" ht="22.5" customHeight="1">
      <c r="A214" s="4" t="s">
        <v>1637</v>
      </c>
      <c r="B214" s="14" t="str">
        <f t="shared" si="1"/>
        <v>Schneeberger, Hans Georg (1633-1667)</v>
      </c>
      <c r="C214" s="15" t="s">
        <v>1638</v>
      </c>
      <c r="D214" s="4" t="s">
        <v>1639</v>
      </c>
      <c r="E214" s="27">
        <v>1633.0</v>
      </c>
      <c r="F214" s="27">
        <v>1667.0</v>
      </c>
      <c r="G214" s="4" t="s">
        <v>1640</v>
      </c>
      <c r="H214" s="4" t="s">
        <v>1641</v>
      </c>
      <c r="I214" s="12" t="s">
        <v>42</v>
      </c>
      <c r="J214" s="16" t="s">
        <v>1642</v>
      </c>
      <c r="K214" s="13"/>
    </row>
    <row r="215" ht="22.5" customHeight="1">
      <c r="A215" s="4" t="s">
        <v>1643</v>
      </c>
      <c r="B215" s="14" t="str">
        <f t="shared" si="1"/>
        <v>Zwingli, Ulrich (1484-1531)</v>
      </c>
      <c r="C215" s="15" t="s">
        <v>1644</v>
      </c>
      <c r="D215" s="4" t="s">
        <v>1485</v>
      </c>
      <c r="E215" s="8">
        <v>1484.0</v>
      </c>
      <c r="F215" s="8">
        <v>1531.0</v>
      </c>
      <c r="G215" s="4" t="s">
        <v>1645</v>
      </c>
      <c r="H215" s="4" t="s">
        <v>1646</v>
      </c>
      <c r="I215" s="12" t="s">
        <v>42</v>
      </c>
      <c r="J215" s="16" t="s">
        <v>1647</v>
      </c>
      <c r="K215" s="13"/>
    </row>
    <row r="216" ht="22.5" customHeight="1">
      <c r="A216" s="4" t="s">
        <v>1648</v>
      </c>
      <c r="B216" s="14" t="str">
        <f t="shared" si="1"/>
        <v>Bullinger, Heinrich (1504-1575)</v>
      </c>
      <c r="C216" s="15" t="s">
        <v>1649</v>
      </c>
      <c r="D216" s="4" t="s">
        <v>130</v>
      </c>
      <c r="E216" s="8">
        <v>1504.0</v>
      </c>
      <c r="F216" s="8">
        <v>1575.0</v>
      </c>
      <c r="G216" s="4" t="s">
        <v>1650</v>
      </c>
      <c r="H216" s="4" t="s">
        <v>1651</v>
      </c>
      <c r="I216" s="12" t="s">
        <v>42</v>
      </c>
      <c r="J216" s="16" t="s">
        <v>1652</v>
      </c>
      <c r="K216" s="13"/>
    </row>
    <row r="217" ht="22.5" customHeight="1">
      <c r="A217" s="4" t="s">
        <v>1653</v>
      </c>
      <c r="B217" s="14" t="str">
        <f t="shared" si="1"/>
        <v>Breitinger, Johann Jakob (1575-1645)</v>
      </c>
      <c r="C217" s="15" t="s">
        <v>1654</v>
      </c>
      <c r="D217" s="4" t="s">
        <v>107</v>
      </c>
      <c r="E217" s="8">
        <v>1575.0</v>
      </c>
      <c r="F217" s="8">
        <v>1645.0</v>
      </c>
      <c r="G217" s="4" t="s">
        <v>1655</v>
      </c>
      <c r="H217" s="4" t="s">
        <v>1656</v>
      </c>
      <c r="I217" s="12" t="s">
        <v>42</v>
      </c>
      <c r="J217" s="16" t="s">
        <v>1657</v>
      </c>
      <c r="K217" s="13"/>
    </row>
    <row r="218" ht="22.5" customHeight="1">
      <c r="A218" s="4" t="s">
        <v>1658</v>
      </c>
      <c r="B218" s="14" t="str">
        <f t="shared" si="1"/>
        <v>Irminger, Johann Jakob (1588-1649)</v>
      </c>
      <c r="C218" s="15" t="s">
        <v>1659</v>
      </c>
      <c r="D218" s="4" t="s">
        <v>107</v>
      </c>
      <c r="E218" s="8">
        <v>1588.0</v>
      </c>
      <c r="F218" s="8">
        <v>1649.0</v>
      </c>
      <c r="G218" s="4" t="s">
        <v>1660</v>
      </c>
      <c r="H218" s="4" t="s">
        <v>1661</v>
      </c>
      <c r="I218" s="12" t="s">
        <v>42</v>
      </c>
      <c r="J218" s="16" t="s">
        <v>1662</v>
      </c>
      <c r="K218" s="4" t="s">
        <v>1663</v>
      </c>
    </row>
    <row r="219" ht="22.5" customHeight="1">
      <c r="A219" s="4" t="s">
        <v>1664</v>
      </c>
      <c r="B219" s="14" t="str">
        <f t="shared" si="1"/>
        <v>Frisius, Johann Jacob (1586-1656)</v>
      </c>
      <c r="C219" s="15" t="s">
        <v>1665</v>
      </c>
      <c r="D219" s="4" t="s">
        <v>1361</v>
      </c>
      <c r="E219" s="27">
        <v>1586.0</v>
      </c>
      <c r="F219" s="8">
        <v>1656.0</v>
      </c>
      <c r="G219" s="15" t="s">
        <v>1666</v>
      </c>
      <c r="H219" s="4" t="s">
        <v>1667</v>
      </c>
      <c r="I219" s="12" t="s">
        <v>42</v>
      </c>
      <c r="J219" s="21" t="s">
        <v>1668</v>
      </c>
      <c r="K219" s="4" t="s">
        <v>1669</v>
      </c>
    </row>
    <row r="220" ht="22.5" customHeight="1">
      <c r="A220" s="4" t="s">
        <v>1670</v>
      </c>
      <c r="B220" s="14" t="str">
        <f t="shared" si="1"/>
        <v>Gyger, Johann Rudolf (1603-1662)</v>
      </c>
      <c r="C220" s="15" t="s">
        <v>1454</v>
      </c>
      <c r="D220" s="4" t="s">
        <v>1455</v>
      </c>
      <c r="E220" s="8">
        <v>1603.0</v>
      </c>
      <c r="F220" s="8">
        <v>1662.0</v>
      </c>
      <c r="G220" s="4" t="s">
        <v>1456</v>
      </c>
      <c r="H220" s="4" t="s">
        <v>1671</v>
      </c>
      <c r="I220" s="12" t="s">
        <v>42</v>
      </c>
      <c r="J220" s="13"/>
      <c r="K220" s="4" t="s">
        <v>1672</v>
      </c>
    </row>
    <row r="221" ht="22.5" customHeight="1">
      <c r="A221" s="4" t="s">
        <v>1673</v>
      </c>
      <c r="B221" s="14" t="str">
        <f t="shared" si="1"/>
        <v>Maurer, Hans Kaspar (1559-1633)</v>
      </c>
      <c r="C221" s="15" t="s">
        <v>1674</v>
      </c>
      <c r="D221" s="4" t="s">
        <v>1496</v>
      </c>
      <c r="E221" s="8">
        <v>1559.0</v>
      </c>
      <c r="F221" s="8">
        <v>1633.0</v>
      </c>
      <c r="G221" s="15" t="s">
        <v>1675</v>
      </c>
      <c r="H221" s="4" t="s">
        <v>1676</v>
      </c>
      <c r="I221" s="12" t="s">
        <v>42</v>
      </c>
      <c r="J221" s="4" t="s">
        <v>1677</v>
      </c>
      <c r="K221" s="13"/>
    </row>
    <row r="222" ht="22.5" customHeight="1">
      <c r="A222" s="4" t="s">
        <v>1678</v>
      </c>
      <c r="B222" s="14" t="str">
        <f t="shared" si="1"/>
        <v>Suter, Hans Kaspar (1601-1655)</v>
      </c>
      <c r="C222" s="15" t="s">
        <v>1679</v>
      </c>
      <c r="D222" s="4" t="s">
        <v>1496</v>
      </c>
      <c r="E222" s="8">
        <v>1601.0</v>
      </c>
      <c r="F222" s="8">
        <v>1655.0</v>
      </c>
      <c r="G222" s="4" t="s">
        <v>1680</v>
      </c>
      <c r="H222" s="4" t="s">
        <v>1676</v>
      </c>
      <c r="I222" s="12" t="s">
        <v>42</v>
      </c>
      <c r="J222" s="4" t="s">
        <v>1681</v>
      </c>
      <c r="K222" s="13"/>
    </row>
    <row r="223" ht="22.5" customHeight="1">
      <c r="A223" s="4" t="s">
        <v>1682</v>
      </c>
      <c r="B223" s="14" t="str">
        <f t="shared" si="1"/>
        <v>Holzhalb, Hans (1572-1637)</v>
      </c>
      <c r="C223" s="15" t="s">
        <v>1205</v>
      </c>
      <c r="D223" s="4" t="s">
        <v>302</v>
      </c>
      <c r="E223" s="8">
        <v>1572.0</v>
      </c>
      <c r="F223" s="8">
        <v>1637.0</v>
      </c>
      <c r="G223" s="4" t="s">
        <v>1683</v>
      </c>
      <c r="H223" s="4" t="s">
        <v>1684</v>
      </c>
      <c r="I223" s="12" t="s">
        <v>42</v>
      </c>
      <c r="J223" s="15" t="s">
        <v>1685</v>
      </c>
      <c r="K223" s="13"/>
    </row>
    <row r="224" ht="22.5" customHeight="1">
      <c r="A224" s="4" t="s">
        <v>1686</v>
      </c>
      <c r="B224" s="14" t="str">
        <f t="shared" si="1"/>
        <v>Wirz, Hans Konrad (1606-1667)</v>
      </c>
      <c r="C224" s="15" t="s">
        <v>332</v>
      </c>
      <c r="D224" s="4" t="s">
        <v>1263</v>
      </c>
      <c r="E224" s="8">
        <v>1606.0</v>
      </c>
      <c r="F224" s="8">
        <v>1667.0</v>
      </c>
      <c r="G224" s="4" t="s">
        <v>1687</v>
      </c>
      <c r="H224" s="4" t="s">
        <v>1688</v>
      </c>
      <c r="I224" s="12" t="s">
        <v>42</v>
      </c>
      <c r="J224" s="4" t="s">
        <v>1689</v>
      </c>
      <c r="K224" s="13"/>
    </row>
    <row r="225" ht="22.5" customHeight="1">
      <c r="A225" s="4" t="s">
        <v>1690</v>
      </c>
      <c r="B225" s="14" t="str">
        <f t="shared" si="1"/>
        <v>Waser, Kaspar (1565-1625)</v>
      </c>
      <c r="C225" s="15" t="s">
        <v>1210</v>
      </c>
      <c r="D225" s="4" t="s">
        <v>1516</v>
      </c>
      <c r="E225" s="27">
        <v>1565.0</v>
      </c>
      <c r="F225" s="27">
        <v>1625.0</v>
      </c>
      <c r="G225" s="4" t="s">
        <v>1691</v>
      </c>
      <c r="H225" s="4" t="s">
        <v>1692</v>
      </c>
      <c r="I225" s="12" t="s">
        <v>42</v>
      </c>
      <c r="J225" s="4" t="s">
        <v>1693</v>
      </c>
      <c r="K225" s="13"/>
    </row>
    <row r="226" ht="22.5" customHeight="1">
      <c r="A226" s="4" t="s">
        <v>1694</v>
      </c>
      <c r="B226" s="14" t="str">
        <f t="shared" si="1"/>
        <v>Hospinianus, Rudolphus (1547-1626)</v>
      </c>
      <c r="C226" s="15" t="s">
        <v>1695</v>
      </c>
      <c r="D226" s="4" t="s">
        <v>1696</v>
      </c>
      <c r="E226" s="8">
        <v>1547.0</v>
      </c>
      <c r="F226" s="27">
        <v>1626.0</v>
      </c>
      <c r="G226" s="4" t="s">
        <v>1697</v>
      </c>
      <c r="H226" s="4" t="s">
        <v>1698</v>
      </c>
      <c r="I226" s="12" t="s">
        <v>42</v>
      </c>
      <c r="J226" s="4" t="s">
        <v>1699</v>
      </c>
      <c r="K226" s="13"/>
    </row>
    <row r="227" ht="22.5" customHeight="1">
      <c r="A227" s="4" t="s">
        <v>1700</v>
      </c>
      <c r="B227" s="14" t="str">
        <f t="shared" si="1"/>
        <v>Erni, Heinrich (1565-1639)</v>
      </c>
      <c r="C227" s="15" t="s">
        <v>1701</v>
      </c>
      <c r="D227" s="4" t="s">
        <v>130</v>
      </c>
      <c r="E227" s="27">
        <v>1565.0</v>
      </c>
      <c r="F227" s="27">
        <v>1639.0</v>
      </c>
      <c r="G227" s="15" t="s">
        <v>1702</v>
      </c>
      <c r="H227" s="4" t="s">
        <v>1703</v>
      </c>
      <c r="I227" s="12" t="s">
        <v>42</v>
      </c>
      <c r="J227" s="4" t="s">
        <v>1704</v>
      </c>
      <c r="K227" s="13"/>
    </row>
    <row r="228" ht="22.5" customHeight="1">
      <c r="A228" s="4" t="s">
        <v>1705</v>
      </c>
      <c r="B228" s="14" t="str">
        <f t="shared" si="1"/>
        <v>Thomann, Hans Peter  (1583-1651)</v>
      </c>
      <c r="C228" s="15" t="s">
        <v>1706</v>
      </c>
      <c r="D228" s="4" t="s">
        <v>1707</v>
      </c>
      <c r="E228" s="8">
        <v>1583.0</v>
      </c>
      <c r="F228" s="8">
        <v>1651.0</v>
      </c>
      <c r="G228" s="4" t="s">
        <v>1708</v>
      </c>
      <c r="H228" s="15" t="s">
        <v>1709</v>
      </c>
      <c r="I228" s="12" t="s">
        <v>42</v>
      </c>
      <c r="J228" s="45" t="s">
        <v>1710</v>
      </c>
      <c r="K228" s="13"/>
    </row>
    <row r="229" ht="22.5" customHeight="1">
      <c r="A229" s="4" t="s">
        <v>1711</v>
      </c>
      <c r="B229" s="14" t="str">
        <f t="shared" si="1"/>
        <v>Stucki, Johann Rudolf (1596-1660)</v>
      </c>
      <c r="C229" s="15" t="s">
        <v>1712</v>
      </c>
      <c r="D229" s="4" t="s">
        <v>1455</v>
      </c>
      <c r="E229" s="8">
        <v>1596.0</v>
      </c>
      <c r="F229" s="8">
        <v>1660.0</v>
      </c>
      <c r="G229" s="4" t="s">
        <v>1713</v>
      </c>
      <c r="H229" s="4" t="s">
        <v>1714</v>
      </c>
      <c r="I229" s="12" t="s">
        <v>42</v>
      </c>
      <c r="J229" s="29" t="s">
        <v>1715</v>
      </c>
      <c r="K229" s="13"/>
    </row>
    <row r="230" ht="22.5" customHeight="1">
      <c r="A230" s="4" t="s">
        <v>1716</v>
      </c>
      <c r="B230" s="14" t="str">
        <f t="shared" si="1"/>
        <v>Zeller, Hans Heinrich (1576-1645)</v>
      </c>
      <c r="C230" s="15" t="s">
        <v>1717</v>
      </c>
      <c r="D230" s="4" t="s">
        <v>223</v>
      </c>
      <c r="E230" s="8">
        <v>1576.0</v>
      </c>
      <c r="F230" s="8">
        <v>1645.0</v>
      </c>
      <c r="G230" s="15" t="s">
        <v>1718</v>
      </c>
      <c r="H230" s="4" t="s">
        <v>1719</v>
      </c>
      <c r="I230" s="12" t="s">
        <v>42</v>
      </c>
      <c r="J230" s="4" t="s">
        <v>1720</v>
      </c>
      <c r="K230" s="13"/>
    </row>
    <row r="231" ht="22.5" customHeight="1">
      <c r="A231" s="4" t="s">
        <v>1721</v>
      </c>
      <c r="B231" s="14" t="str">
        <f t="shared" si="1"/>
        <v>Jacob</v>
      </c>
      <c r="C231" s="15"/>
      <c r="D231" s="4" t="s">
        <v>1722</v>
      </c>
      <c r="E231" s="42"/>
      <c r="F231" s="20"/>
      <c r="G231" s="13"/>
      <c r="H231" s="4" t="s">
        <v>1723</v>
      </c>
      <c r="I231" s="12" t="s">
        <v>42</v>
      </c>
      <c r="J231" s="13"/>
      <c r="K231" s="13"/>
    </row>
    <row r="232" ht="22.5" customHeight="1">
      <c r="A232" s="4" t="s">
        <v>1724</v>
      </c>
      <c r="B232" s="14" t="str">
        <f t="shared" si="1"/>
        <v>Ulrich, Anna (1622-1697)</v>
      </c>
      <c r="C232" s="15" t="s">
        <v>1485</v>
      </c>
      <c r="D232" s="4" t="s">
        <v>1491</v>
      </c>
      <c r="E232" s="27">
        <v>1622.0</v>
      </c>
      <c r="F232" s="27">
        <v>1697.0</v>
      </c>
      <c r="G232" s="13"/>
      <c r="H232" s="4" t="s">
        <v>1725</v>
      </c>
      <c r="I232" s="12" t="s">
        <v>42</v>
      </c>
      <c r="J232" s="21" t="s">
        <v>1726</v>
      </c>
      <c r="K232" s="13"/>
    </row>
    <row r="233" ht="22.5" customHeight="1">
      <c r="A233" s="4" t="s">
        <v>1727</v>
      </c>
      <c r="B233" s="14" t="str">
        <f t="shared" si="1"/>
        <v>Kusen, Jost von (1570-1630)</v>
      </c>
      <c r="C233" s="15" t="s">
        <v>1728</v>
      </c>
      <c r="D233" s="4" t="s">
        <v>1729</v>
      </c>
      <c r="E233" s="8">
        <v>1570.0</v>
      </c>
      <c r="F233" s="8">
        <v>1630.0</v>
      </c>
      <c r="G233" s="4" t="s">
        <v>1730</v>
      </c>
      <c r="H233" s="4" t="s">
        <v>1731</v>
      </c>
      <c r="I233" s="12" t="s">
        <v>42</v>
      </c>
      <c r="J233" s="4" t="s">
        <v>1732</v>
      </c>
      <c r="K233" s="4" t="s">
        <v>1733</v>
      </c>
    </row>
    <row r="234" ht="22.5" customHeight="1">
      <c r="A234" s="4" t="s">
        <v>1734</v>
      </c>
      <c r="B234" s="14" t="str">
        <f t="shared" si="1"/>
        <v>Ulrich, Johann Heinrich (1575-1630)</v>
      </c>
      <c r="C234" s="15" t="s">
        <v>1485</v>
      </c>
      <c r="D234" s="4" t="s">
        <v>145</v>
      </c>
      <c r="E234" s="8">
        <v>1575.0</v>
      </c>
      <c r="F234" s="8">
        <v>1630.0</v>
      </c>
      <c r="G234" s="4" t="s">
        <v>1735</v>
      </c>
      <c r="H234" s="4" t="s">
        <v>1736</v>
      </c>
      <c r="I234" s="12" t="s">
        <v>42</v>
      </c>
      <c r="J234" s="37" t="s">
        <v>1737</v>
      </c>
      <c r="K234" s="13"/>
    </row>
    <row r="235" ht="22.5" customHeight="1">
      <c r="A235" s="4" t="s">
        <v>1738</v>
      </c>
      <c r="B235" s="14" t="str">
        <f t="shared" si="1"/>
        <v>Gessner, Salomon (1623-1667)</v>
      </c>
      <c r="C235" s="15" t="s">
        <v>1739</v>
      </c>
      <c r="D235" s="4" t="s">
        <v>1290</v>
      </c>
      <c r="E235" s="8">
        <v>1623.0</v>
      </c>
      <c r="F235" s="8">
        <v>1667.0</v>
      </c>
      <c r="G235" s="4" t="s">
        <v>1740</v>
      </c>
      <c r="H235" s="4" t="s">
        <v>1741</v>
      </c>
      <c r="I235" s="12" t="s">
        <v>42</v>
      </c>
      <c r="J235" s="4" t="s">
        <v>1742</v>
      </c>
      <c r="K235" s="4" t="s">
        <v>1743</v>
      </c>
    </row>
    <row r="236" ht="22.5" customHeight="1">
      <c r="A236" s="4" t="s">
        <v>1744</v>
      </c>
      <c r="B236" s="14" t="str">
        <f t="shared" si="1"/>
        <v>Wöllwein, Johann Anthon (1616-1659)</v>
      </c>
      <c r="C236" s="15" t="s">
        <v>1745</v>
      </c>
      <c r="D236" s="4" t="s">
        <v>1746</v>
      </c>
      <c r="E236" s="8">
        <v>1616.0</v>
      </c>
      <c r="F236" s="8">
        <v>1659.0</v>
      </c>
      <c r="G236" s="4" t="s">
        <v>1747</v>
      </c>
      <c r="H236" s="4" t="s">
        <v>1748</v>
      </c>
      <c r="I236" s="12" t="s">
        <v>42</v>
      </c>
      <c r="J236" s="13"/>
      <c r="K236" s="4" t="s">
        <v>1733</v>
      </c>
    </row>
    <row r="237" ht="22.5" customHeight="1">
      <c r="A237" s="4" t="s">
        <v>1749</v>
      </c>
      <c r="B237" s="14" t="str">
        <f t="shared" si="1"/>
        <v>Hirzel, Anna (1613-1667)</v>
      </c>
      <c r="C237" s="15" t="s">
        <v>1524</v>
      </c>
      <c r="D237" s="4" t="s">
        <v>1491</v>
      </c>
      <c r="E237" s="8">
        <v>1613.0</v>
      </c>
      <c r="F237" s="8">
        <v>1667.0</v>
      </c>
      <c r="G237" s="13"/>
      <c r="H237" s="4" t="s">
        <v>1750</v>
      </c>
      <c r="I237" s="12" t="s">
        <v>42</v>
      </c>
      <c r="J237" s="21" t="s">
        <v>1751</v>
      </c>
      <c r="K237" s="13"/>
    </row>
    <row r="238" ht="22.5" customHeight="1">
      <c r="A238" s="4" t="s">
        <v>1752</v>
      </c>
      <c r="B238" s="14" t="str">
        <f t="shared" si="1"/>
        <v>Simler, Hans Rudolf (1635-‎1689)</v>
      </c>
      <c r="C238" s="15" t="s">
        <v>35</v>
      </c>
      <c r="D238" s="4" t="s">
        <v>1753</v>
      </c>
      <c r="E238" s="8">
        <v>1635.0</v>
      </c>
      <c r="F238" s="26" t="s">
        <v>1754</v>
      </c>
      <c r="G238" s="13"/>
      <c r="H238" s="4" t="s">
        <v>1755</v>
      </c>
      <c r="I238" s="12" t="s">
        <v>42</v>
      </c>
      <c r="J238" s="21" t="s">
        <v>1756</v>
      </c>
      <c r="K238" s="13"/>
    </row>
    <row r="239" ht="22.5" customHeight="1">
      <c r="A239" s="4" t="s">
        <v>1757</v>
      </c>
      <c r="B239" s="14" t="str">
        <f t="shared" si="1"/>
        <v>Ruyter, Michiel Adriaansz de (1607-1676)</v>
      </c>
      <c r="C239" s="15" t="s">
        <v>1758</v>
      </c>
      <c r="D239" s="4" t="s">
        <v>1759</v>
      </c>
      <c r="E239" s="8">
        <v>1607.0</v>
      </c>
      <c r="F239" s="8">
        <v>1676.0</v>
      </c>
      <c r="G239" s="4" t="s">
        <v>1760</v>
      </c>
      <c r="H239" s="4" t="s">
        <v>1761</v>
      </c>
      <c r="I239" s="12" t="s">
        <v>42</v>
      </c>
      <c r="J239" s="13"/>
      <c r="K239" s="13"/>
    </row>
    <row r="240" ht="22.5" customHeight="1">
      <c r="A240" s="4" t="s">
        <v>1762</v>
      </c>
      <c r="B240" s="14" t="str">
        <f t="shared" si="1"/>
        <v>Vulcanus</v>
      </c>
      <c r="C240" s="15" t="s">
        <v>1763</v>
      </c>
      <c r="D240" s="4"/>
      <c r="E240" s="42"/>
      <c r="F240" s="20"/>
      <c r="G240" s="4" t="s">
        <v>1764</v>
      </c>
      <c r="H240" s="4" t="s">
        <v>1765</v>
      </c>
      <c r="I240" s="12" t="s">
        <v>626</v>
      </c>
      <c r="J240" s="13"/>
      <c r="K240" s="13"/>
    </row>
    <row r="241" ht="22.5" customHeight="1">
      <c r="A241" s="4" t="s">
        <v>1766</v>
      </c>
      <c r="B241" s="14" t="str">
        <f t="shared" si="1"/>
        <v>Esau</v>
      </c>
      <c r="C241" s="15" t="s">
        <v>1767</v>
      </c>
      <c r="D241" s="4"/>
      <c r="E241" s="42"/>
      <c r="F241" s="20"/>
      <c r="G241" s="4" t="s">
        <v>1768</v>
      </c>
      <c r="H241" s="4" t="s">
        <v>1769</v>
      </c>
      <c r="I241" s="12" t="s">
        <v>679</v>
      </c>
      <c r="J241" s="13"/>
      <c r="K241" s="13"/>
    </row>
    <row r="242" ht="22.5" customHeight="1">
      <c r="A242" s="4" t="s">
        <v>1770</v>
      </c>
      <c r="B242" s="14" t="str">
        <f t="shared" si="1"/>
        <v>Danaos</v>
      </c>
      <c r="C242" s="15" t="s">
        <v>1771</v>
      </c>
      <c r="D242" s="4"/>
      <c r="E242" s="42"/>
      <c r="F242" s="20"/>
      <c r="G242" s="4" t="s">
        <v>1772</v>
      </c>
      <c r="H242" s="4" t="s">
        <v>1773</v>
      </c>
      <c r="I242" s="12" t="s">
        <v>626</v>
      </c>
      <c r="J242" s="13"/>
      <c r="K242" s="13"/>
    </row>
    <row r="243" ht="22.5" customHeight="1">
      <c r="A243" s="4" t="s">
        <v>1774</v>
      </c>
      <c r="B243" s="14" t="str">
        <f t="shared" si="1"/>
        <v>Medusa</v>
      </c>
      <c r="C243" s="15" t="s">
        <v>1775</v>
      </c>
      <c r="D243" s="4"/>
      <c r="E243" s="42"/>
      <c r="F243" s="20"/>
      <c r="G243" s="4" t="s">
        <v>1776</v>
      </c>
      <c r="H243" s="4" t="s">
        <v>1777</v>
      </c>
      <c r="I243" s="12" t="s">
        <v>626</v>
      </c>
      <c r="J243" s="13"/>
      <c r="K243" s="13"/>
    </row>
    <row r="244" ht="22.5" customHeight="1">
      <c r="A244" s="4" t="s">
        <v>1778</v>
      </c>
      <c r="B244" s="14" t="str">
        <f t="shared" si="1"/>
        <v>Pluton</v>
      </c>
      <c r="C244" s="15" t="s">
        <v>1779</v>
      </c>
      <c r="D244" s="4"/>
      <c r="E244" s="42"/>
      <c r="F244" s="20"/>
      <c r="G244" s="4" t="s">
        <v>1780</v>
      </c>
      <c r="H244" s="4" t="s">
        <v>1781</v>
      </c>
      <c r="I244" s="12" t="s">
        <v>626</v>
      </c>
      <c r="J244" s="13"/>
      <c r="K244" s="13"/>
    </row>
    <row r="245" ht="22.5" customHeight="1">
      <c r="A245" s="4" t="s">
        <v>1782</v>
      </c>
      <c r="B245" s="14" t="str">
        <f t="shared" si="1"/>
        <v>Merkur</v>
      </c>
      <c r="C245" s="15" t="s">
        <v>1783</v>
      </c>
      <c r="D245" s="4"/>
      <c r="E245" s="42"/>
      <c r="F245" s="20"/>
      <c r="G245" s="4" t="s">
        <v>1784</v>
      </c>
      <c r="H245" s="4" t="s">
        <v>1785</v>
      </c>
      <c r="I245" s="12" t="s">
        <v>626</v>
      </c>
      <c r="J245" s="13"/>
      <c r="K245" s="13"/>
    </row>
    <row r="246" ht="22.5" customHeight="1">
      <c r="A246" s="4" t="s">
        <v>1786</v>
      </c>
      <c r="B246" s="14" t="str">
        <f t="shared" si="1"/>
        <v>Perseus</v>
      </c>
      <c r="C246" s="15" t="s">
        <v>1787</v>
      </c>
      <c r="D246" s="4"/>
      <c r="E246" s="42"/>
      <c r="F246" s="20"/>
      <c r="G246" s="4" t="s">
        <v>1788</v>
      </c>
      <c r="H246" s="4" t="s">
        <v>1789</v>
      </c>
      <c r="I246" s="12" t="s">
        <v>626</v>
      </c>
      <c r="J246" s="13"/>
      <c r="K246" s="13"/>
    </row>
    <row r="247" ht="22.5" customHeight="1">
      <c r="A247" s="4" t="s">
        <v>1790</v>
      </c>
      <c r="B247" s="14" t="str">
        <f t="shared" si="1"/>
        <v>Atropos</v>
      </c>
      <c r="C247" s="15" t="s">
        <v>1791</v>
      </c>
      <c r="D247" s="4"/>
      <c r="E247" s="42"/>
      <c r="F247" s="20"/>
      <c r="G247" s="4" t="s">
        <v>1792</v>
      </c>
      <c r="H247" s="4" t="s">
        <v>1793</v>
      </c>
      <c r="I247" s="12" t="s">
        <v>626</v>
      </c>
      <c r="J247" s="13"/>
      <c r="K247" s="13"/>
    </row>
    <row r="248" ht="22.5" customHeight="1">
      <c r="A248" s="4" t="s">
        <v>1794</v>
      </c>
      <c r="B248" s="14" t="str">
        <f t="shared" si="1"/>
        <v>Barbara von Nikomedien</v>
      </c>
      <c r="C248" s="15" t="s">
        <v>1795</v>
      </c>
      <c r="D248" s="4"/>
      <c r="E248" s="42"/>
      <c r="F248" s="20"/>
      <c r="G248" s="4" t="s">
        <v>1796</v>
      </c>
      <c r="H248" s="4" t="s">
        <v>1797</v>
      </c>
      <c r="I248" s="12" t="s">
        <v>679</v>
      </c>
      <c r="J248" s="13"/>
      <c r="K248" s="13"/>
    </row>
    <row r="249" ht="22.5" customHeight="1">
      <c r="A249" s="4" t="s">
        <v>1798</v>
      </c>
      <c r="B249" s="14" t="str">
        <f t="shared" si="1"/>
        <v>Karl Ludwig (1617/1618-1680)</v>
      </c>
      <c r="C249" s="15" t="s">
        <v>1799</v>
      </c>
      <c r="D249" s="4"/>
      <c r="E249" s="8" t="s">
        <v>1800</v>
      </c>
      <c r="F249" s="27">
        <v>1680.0</v>
      </c>
      <c r="G249" s="4" t="s">
        <v>1801</v>
      </c>
      <c r="H249" s="4" t="s">
        <v>1802</v>
      </c>
      <c r="I249" s="12" t="s">
        <v>42</v>
      </c>
      <c r="J249" s="16" t="s">
        <v>1803</v>
      </c>
      <c r="K249" s="13"/>
    </row>
    <row r="250" ht="22.5" customHeight="1">
      <c r="A250" s="4" t="s">
        <v>1804</v>
      </c>
      <c r="B250" s="14" t="str">
        <f t="shared" si="1"/>
        <v>Dury, John (1596-1680)</v>
      </c>
      <c r="C250" s="15" t="s">
        <v>1805</v>
      </c>
      <c r="D250" s="4" t="s">
        <v>1806</v>
      </c>
      <c r="E250" s="27">
        <v>1596.0</v>
      </c>
      <c r="F250" s="27">
        <v>1680.0</v>
      </c>
      <c r="G250" s="4" t="s">
        <v>1807</v>
      </c>
      <c r="H250" s="4" t="s">
        <v>1808</v>
      </c>
      <c r="I250" s="12" t="s">
        <v>42</v>
      </c>
      <c r="J250" s="21" t="s">
        <v>1809</v>
      </c>
      <c r="K250" s="13"/>
    </row>
    <row r="251" ht="22.5" customHeight="1">
      <c r="A251" s="4" t="s">
        <v>1810</v>
      </c>
      <c r="B251" s="14" t="str">
        <f t="shared" si="1"/>
        <v>Zesen, Philipp von (1619-1689)</v>
      </c>
      <c r="C251" s="15" t="s">
        <v>1811</v>
      </c>
      <c r="D251" s="4" t="s">
        <v>1812</v>
      </c>
      <c r="E251" s="8">
        <v>1619.0</v>
      </c>
      <c r="F251" s="8">
        <v>1689.0</v>
      </c>
      <c r="G251" s="4" t="s">
        <v>1813</v>
      </c>
      <c r="H251" s="4" t="s">
        <v>1814</v>
      </c>
      <c r="I251" s="12" t="s">
        <v>42</v>
      </c>
      <c r="J251" s="13"/>
      <c r="K251" s="13"/>
    </row>
    <row r="252" ht="22.5" customHeight="1">
      <c r="A252" s="4" t="s">
        <v>1815</v>
      </c>
      <c r="B252" s="14" t="str">
        <f t="shared" si="1"/>
        <v>Lucretia</v>
      </c>
      <c r="C252" s="15" t="s">
        <v>1816</v>
      </c>
      <c r="D252" s="4"/>
      <c r="E252" s="42"/>
      <c r="F252" s="20"/>
      <c r="G252" s="4" t="s">
        <v>1817</v>
      </c>
      <c r="H252" s="4" t="s">
        <v>1818</v>
      </c>
      <c r="I252" s="12" t="s">
        <v>626</v>
      </c>
      <c r="J252" s="13"/>
      <c r="K252" s="13"/>
    </row>
    <row r="253" ht="22.5" customHeight="1">
      <c r="A253" s="4" t="s">
        <v>1819</v>
      </c>
      <c r="B253" s="14" t="str">
        <f t="shared" si="1"/>
        <v>Ovidius Naso, Publius</v>
      </c>
      <c r="C253" s="15" t="s">
        <v>1820</v>
      </c>
      <c r="D253" s="4" t="s">
        <v>457</v>
      </c>
      <c r="E253" s="42"/>
      <c r="F253" s="20"/>
      <c r="G253" s="4" t="s">
        <v>1821</v>
      </c>
      <c r="H253" s="4" t="s">
        <v>462</v>
      </c>
      <c r="I253" s="12" t="s">
        <v>42</v>
      </c>
      <c r="J253" s="13"/>
      <c r="K253" s="13"/>
    </row>
    <row r="254" ht="22.5" customHeight="1">
      <c r="A254" s="4" t="s">
        <v>1822</v>
      </c>
      <c r="B254" s="14" t="str">
        <f t="shared" si="1"/>
        <v>Schweizer, Johann Caspar (1619/1620-1684/1688)</v>
      </c>
      <c r="C254" s="15" t="s">
        <v>1234</v>
      </c>
      <c r="D254" s="4" t="s">
        <v>1219</v>
      </c>
      <c r="E254" s="8" t="s">
        <v>1823</v>
      </c>
      <c r="F254" s="4" t="s">
        <v>1824</v>
      </c>
      <c r="G254" s="4" t="s">
        <v>1275</v>
      </c>
      <c r="H254" s="4" t="s">
        <v>1825</v>
      </c>
      <c r="I254" s="12" t="s">
        <v>42</v>
      </c>
      <c r="J254" s="21" t="s">
        <v>1277</v>
      </c>
      <c r="K254" s="4" t="s">
        <v>1826</v>
      </c>
    </row>
    <row r="255" ht="22.5" customHeight="1">
      <c r="A255" s="4" t="s">
        <v>1827</v>
      </c>
      <c r="B255" s="14" t="str">
        <f t="shared" si="1"/>
        <v>Herder, Hans Heinrich (1629-1665)</v>
      </c>
      <c r="C255" s="15" t="s">
        <v>1306</v>
      </c>
      <c r="D255" s="4" t="s">
        <v>223</v>
      </c>
      <c r="E255" s="8">
        <v>1629.0</v>
      </c>
      <c r="F255" s="8">
        <v>1665.0</v>
      </c>
      <c r="G255" s="4" t="s">
        <v>1307</v>
      </c>
      <c r="H255" s="4" t="s">
        <v>1308</v>
      </c>
      <c r="I255" s="12" t="s">
        <v>42</v>
      </c>
      <c r="J255" s="13"/>
      <c r="K255" s="13"/>
    </row>
    <row r="256" ht="22.5" customHeight="1">
      <c r="A256" s="4" t="s">
        <v>1828</v>
      </c>
      <c r="B256" s="14" t="str">
        <f t="shared" si="1"/>
        <v>Elischa</v>
      </c>
      <c r="C256" s="15" t="s">
        <v>1829</v>
      </c>
      <c r="D256" s="4"/>
      <c r="E256" s="42"/>
      <c r="F256" s="20"/>
      <c r="G256" s="4" t="s">
        <v>1830</v>
      </c>
      <c r="H256" s="4" t="s">
        <v>1831</v>
      </c>
      <c r="I256" s="12" t="s">
        <v>679</v>
      </c>
      <c r="J256" s="13"/>
      <c r="K256" s="13"/>
    </row>
    <row r="257" ht="22.5" customHeight="1">
      <c r="A257" s="4" t="s">
        <v>1832</v>
      </c>
      <c r="B257" s="14" t="str">
        <f t="shared" si="1"/>
        <v>Johannes der Täufer</v>
      </c>
      <c r="C257" s="15" t="s">
        <v>1833</v>
      </c>
      <c r="D257" s="4"/>
      <c r="E257" s="42"/>
      <c r="F257" s="20"/>
      <c r="G257" s="4" t="s">
        <v>1834</v>
      </c>
      <c r="H257" s="4" t="s">
        <v>1835</v>
      </c>
      <c r="I257" s="12" t="s">
        <v>679</v>
      </c>
      <c r="J257" s="13"/>
      <c r="K257" s="13"/>
    </row>
    <row r="258" ht="22.5" customHeight="1">
      <c r="A258" s="4" t="s">
        <v>1836</v>
      </c>
      <c r="B258" s="14" t="str">
        <f t="shared" si="1"/>
        <v>Caesar, Gaius Iulius (100 v. Chr.-44 v. Chr.)</v>
      </c>
      <c r="C258" s="15" t="s">
        <v>1837</v>
      </c>
      <c r="D258" s="4" t="s">
        <v>1838</v>
      </c>
      <c r="E258" s="8" t="s">
        <v>1151</v>
      </c>
      <c r="F258" s="8" t="s">
        <v>1839</v>
      </c>
      <c r="G258" s="4" t="s">
        <v>1840</v>
      </c>
      <c r="H258" s="4" t="s">
        <v>1841</v>
      </c>
      <c r="I258" s="12" t="s">
        <v>42</v>
      </c>
      <c r="J258" s="13"/>
      <c r="K258" s="13"/>
    </row>
    <row r="259" ht="22.5" customHeight="1">
      <c r="A259" s="4" t="s">
        <v>1842</v>
      </c>
      <c r="B259" s="14" t="str">
        <f t="shared" si="1"/>
        <v>Helios</v>
      </c>
      <c r="C259" s="15" t="s">
        <v>1843</v>
      </c>
      <c r="D259" s="4"/>
      <c r="E259" s="42"/>
      <c r="F259" s="20"/>
      <c r="G259" s="4" t="s">
        <v>1844</v>
      </c>
      <c r="H259" s="4" t="s">
        <v>1845</v>
      </c>
      <c r="I259" s="12" t="s">
        <v>626</v>
      </c>
      <c r="J259" s="13"/>
      <c r="K259" s="13"/>
    </row>
    <row r="260" ht="22.5" customHeight="1">
      <c r="A260" s="4" t="s">
        <v>1846</v>
      </c>
      <c r="B260" s="14" t="str">
        <f t="shared" si="1"/>
        <v>Suevus</v>
      </c>
      <c r="C260" s="15" t="s">
        <v>1847</v>
      </c>
      <c r="D260" s="4"/>
      <c r="E260" s="42"/>
      <c r="F260" s="20"/>
      <c r="G260" s="13"/>
      <c r="H260" s="4" t="s">
        <v>1169</v>
      </c>
      <c r="I260" s="12" t="s">
        <v>626</v>
      </c>
      <c r="J260" s="4" t="s">
        <v>1170</v>
      </c>
      <c r="K260" s="32"/>
    </row>
    <row r="261" ht="22.5" customHeight="1">
      <c r="A261" s="4" t="s">
        <v>1848</v>
      </c>
      <c r="B261" s="14" t="str">
        <f t="shared" si="1"/>
        <v>Momos</v>
      </c>
      <c r="C261" s="15" t="s">
        <v>1849</v>
      </c>
      <c r="D261" s="4"/>
      <c r="E261" s="42"/>
      <c r="F261" s="20"/>
      <c r="G261" s="4" t="s">
        <v>1850</v>
      </c>
      <c r="H261" s="4" t="s">
        <v>1851</v>
      </c>
      <c r="I261" s="12" t="s">
        <v>626</v>
      </c>
      <c r="J261" s="16" t="s">
        <v>1852</v>
      </c>
      <c r="K261" s="13"/>
    </row>
    <row r="262" ht="22.5" customHeight="1">
      <c r="A262" s="4" t="s">
        <v>1853</v>
      </c>
      <c r="B262" s="14" t="str">
        <f t="shared" si="1"/>
        <v>Galatea</v>
      </c>
      <c r="C262" s="15" t="s">
        <v>1854</v>
      </c>
      <c r="D262" s="4"/>
      <c r="E262" s="42"/>
      <c r="F262" s="20"/>
      <c r="G262" s="4" t="s">
        <v>1855</v>
      </c>
      <c r="H262" s="4" t="s">
        <v>1856</v>
      </c>
      <c r="I262" s="12" t="s">
        <v>626</v>
      </c>
      <c r="J262" s="13"/>
      <c r="K262" s="13"/>
    </row>
    <row r="263" ht="22.5" customHeight="1">
      <c r="A263" s="4" t="s">
        <v>1857</v>
      </c>
      <c r="B263" s="14" t="str">
        <f t="shared" si="1"/>
        <v>Escher vom Luchs‏‎, Hans Heinrich (‎1644-1714)</v>
      </c>
      <c r="C263" s="15" t="s">
        <v>1858</v>
      </c>
      <c r="D263" s="4" t="s">
        <v>223</v>
      </c>
      <c r="E263" s="26" t="s">
        <v>1859</v>
      </c>
      <c r="F263" s="8">
        <v>1714.0</v>
      </c>
      <c r="G263" s="13"/>
      <c r="H263" s="4" t="s">
        <v>1860</v>
      </c>
      <c r="I263" s="12" t="s">
        <v>42</v>
      </c>
      <c r="J263" s="16" t="s">
        <v>1861</v>
      </c>
      <c r="K263" s="16" t="s">
        <v>1862</v>
      </c>
    </row>
    <row r="264" ht="22.5" customHeight="1">
      <c r="A264" s="4" t="s">
        <v>1863</v>
      </c>
      <c r="B264" s="14" t="str">
        <f t="shared" si="1"/>
        <v>Agapetus, Constantinopolitanus (6. Jh.-6. Jh.)</v>
      </c>
      <c r="C264" s="15" t="s">
        <v>1864</v>
      </c>
      <c r="D264" s="4" t="s">
        <v>1865</v>
      </c>
      <c r="E264" s="26" t="s">
        <v>1866</v>
      </c>
      <c r="F264" s="8" t="s">
        <v>1866</v>
      </c>
      <c r="G264" s="4" t="s">
        <v>1867</v>
      </c>
      <c r="H264" s="4" t="s">
        <v>1868</v>
      </c>
      <c r="I264" s="12" t="s">
        <v>42</v>
      </c>
      <c r="J264" s="16" t="s">
        <v>1869</v>
      </c>
      <c r="K264" s="29"/>
    </row>
    <row r="265" ht="22.5" customHeight="1">
      <c r="A265" s="4" t="s">
        <v>1870</v>
      </c>
      <c r="B265" s="14" t="str">
        <f t="shared" si="1"/>
        <v>Justinian I. (482-565)</v>
      </c>
      <c r="C265" s="15" t="s">
        <v>1871</v>
      </c>
      <c r="D265" s="4"/>
      <c r="E265" s="26">
        <v>482.0</v>
      </c>
      <c r="F265" s="8">
        <v>565.0</v>
      </c>
      <c r="G265" s="4" t="s">
        <v>1872</v>
      </c>
      <c r="H265" s="4" t="s">
        <v>1873</v>
      </c>
      <c r="I265" s="12" t="s">
        <v>42</v>
      </c>
      <c r="J265" s="29"/>
      <c r="K265" s="29"/>
    </row>
    <row r="266" ht="22.5" customHeight="1">
      <c r="A266" s="4" t="s">
        <v>1874</v>
      </c>
      <c r="B266" s="14" t="str">
        <f t="shared" si="1"/>
        <v>Theodora (497-548)</v>
      </c>
      <c r="C266" s="15" t="s">
        <v>1875</v>
      </c>
      <c r="D266" s="4"/>
      <c r="E266" s="26">
        <v>497.0</v>
      </c>
      <c r="F266" s="8">
        <v>548.0</v>
      </c>
      <c r="G266" s="4" t="s">
        <v>1876</v>
      </c>
      <c r="H266" s="4" t="s">
        <v>1877</v>
      </c>
      <c r="I266" s="12" t="s">
        <v>42</v>
      </c>
      <c r="J266" s="29"/>
      <c r="K266" s="29"/>
    </row>
    <row r="267" ht="22.5" customHeight="1">
      <c r="A267" s="4" t="s">
        <v>1878</v>
      </c>
      <c r="B267" s="14" t="str">
        <f t="shared" si="1"/>
        <v>Simmler, Josias (1530-1576)</v>
      </c>
      <c r="C267" s="15" t="s">
        <v>1879</v>
      </c>
      <c r="D267" s="4" t="s">
        <v>1880</v>
      </c>
      <c r="E267" s="26">
        <v>1530.0</v>
      </c>
      <c r="F267" s="8">
        <v>1576.0</v>
      </c>
      <c r="G267" s="4" t="s">
        <v>1881</v>
      </c>
      <c r="H267" s="4" t="s">
        <v>1882</v>
      </c>
      <c r="I267" s="12" t="s">
        <v>42</v>
      </c>
      <c r="J267" s="16" t="s">
        <v>1883</v>
      </c>
      <c r="K267" s="29"/>
    </row>
    <row r="268" ht="22.5" customHeight="1">
      <c r="A268" s="4" t="s">
        <v>1884</v>
      </c>
      <c r="B268" s="14" t="str">
        <f t="shared" si="1"/>
        <v>Waser, Kaspar (1595-1666)</v>
      </c>
      <c r="C268" s="15" t="s">
        <v>1210</v>
      </c>
      <c r="D268" s="4" t="s">
        <v>1516</v>
      </c>
      <c r="E268" s="26">
        <v>1595.0</v>
      </c>
      <c r="F268" s="8">
        <v>1666.0</v>
      </c>
      <c r="G268" s="13"/>
      <c r="H268" s="4" t="s">
        <v>1885</v>
      </c>
      <c r="I268" s="12" t="s">
        <v>42</v>
      </c>
      <c r="J268" s="16" t="s">
        <v>1886</v>
      </c>
      <c r="K268" s="29"/>
    </row>
    <row r="269" ht="22.5" customHeight="1">
      <c r="A269" s="4" t="s">
        <v>1887</v>
      </c>
      <c r="B269" s="14" t="str">
        <f t="shared" si="1"/>
        <v>Fäsi, Magdalena (1583-1665)</v>
      </c>
      <c r="C269" s="15" t="s">
        <v>1888</v>
      </c>
      <c r="D269" s="4" t="s">
        <v>1206</v>
      </c>
      <c r="E269" s="26">
        <v>1583.0</v>
      </c>
      <c r="F269" s="8">
        <v>1665.0</v>
      </c>
      <c r="G269" s="13"/>
      <c r="H269" s="4" t="s">
        <v>1889</v>
      </c>
      <c r="I269" s="12" t="s">
        <v>42</v>
      </c>
      <c r="J269" s="16" t="s">
        <v>1890</v>
      </c>
      <c r="K269" s="29"/>
    </row>
    <row r="270" ht="22.5" customHeight="1">
      <c r="A270" s="4" t="s">
        <v>1891</v>
      </c>
      <c r="B270" s="14" t="str">
        <f t="shared" si="1"/>
        <v>Waser, Hans Heinrich (1633-1696)</v>
      </c>
      <c r="C270" s="15" t="s">
        <v>1210</v>
      </c>
      <c r="D270" s="4" t="s">
        <v>223</v>
      </c>
      <c r="E270" s="26">
        <v>1633.0</v>
      </c>
      <c r="F270" s="8">
        <v>1696.0</v>
      </c>
      <c r="G270" s="13"/>
      <c r="H270" s="4" t="s">
        <v>1892</v>
      </c>
      <c r="I270" s="12" t="s">
        <v>42</v>
      </c>
      <c r="J270" s="16" t="s">
        <v>1893</v>
      </c>
      <c r="K270" s="29"/>
    </row>
    <row r="271" ht="22.5" customHeight="1">
      <c r="A271" s="4" t="s">
        <v>1894</v>
      </c>
      <c r="B271" s="14" t="str">
        <f t="shared" si="1"/>
        <v>Simeon</v>
      </c>
      <c r="C271" s="15" t="s">
        <v>1895</v>
      </c>
      <c r="D271" s="4"/>
      <c r="E271" s="26"/>
      <c r="F271" s="8"/>
      <c r="G271" s="4" t="s">
        <v>1896</v>
      </c>
      <c r="H271" s="4" t="s">
        <v>1897</v>
      </c>
      <c r="I271" s="12" t="s">
        <v>679</v>
      </c>
      <c r="J271" s="16" t="s">
        <v>1898</v>
      </c>
      <c r="K271" s="29"/>
    </row>
    <row r="272" ht="22.5" customHeight="1">
      <c r="A272" s="4" t="s">
        <v>1899</v>
      </c>
      <c r="B272" s="14" t="str">
        <f t="shared" si="1"/>
        <v>M. G. H. H. H. D. J. H. H.</v>
      </c>
      <c r="C272" s="15" t="s">
        <v>1900</v>
      </c>
      <c r="D272" s="4"/>
      <c r="E272" s="26"/>
      <c r="F272" s="8"/>
      <c r="G272" s="13"/>
      <c r="H272" s="4"/>
      <c r="I272" s="12" t="s">
        <v>42</v>
      </c>
      <c r="J272" s="29"/>
      <c r="K272" s="29" t="s">
        <v>1901</v>
      </c>
    </row>
    <row r="273" ht="22.5" customHeight="1">
      <c r="A273" s="4" t="s">
        <v>1902</v>
      </c>
      <c r="B273" s="14" t="str">
        <f t="shared" si="1"/>
        <v>Horatius Flaccus, Quintus (65 v. Chr.-8 v. Chr.)</v>
      </c>
      <c r="C273" s="15" t="s">
        <v>1903</v>
      </c>
      <c r="D273" s="4" t="s">
        <v>1904</v>
      </c>
      <c r="E273" s="26" t="s">
        <v>1905</v>
      </c>
      <c r="F273" s="8" t="s">
        <v>1906</v>
      </c>
      <c r="G273" s="4" t="s">
        <v>1907</v>
      </c>
      <c r="H273" s="4" t="s">
        <v>462</v>
      </c>
      <c r="I273" s="12" t="s">
        <v>42</v>
      </c>
      <c r="J273" s="29"/>
      <c r="K273" s="29"/>
    </row>
    <row r="274" ht="22.5" customHeight="1">
      <c r="A274" s="4" t="s">
        <v>1908</v>
      </c>
      <c r="B274" s="14" t="str">
        <f t="shared" si="1"/>
        <v>Lavater, Hans Conrad (1609-1703)</v>
      </c>
      <c r="C274" s="15" t="s">
        <v>1909</v>
      </c>
      <c r="D274" s="4" t="s">
        <v>1910</v>
      </c>
      <c r="E274" s="26">
        <v>1609.0</v>
      </c>
      <c r="F274" s="8">
        <v>1703.0</v>
      </c>
      <c r="G274" s="4" t="s">
        <v>1911</v>
      </c>
      <c r="H274" s="4" t="s">
        <v>1407</v>
      </c>
      <c r="I274" s="12" t="s">
        <v>42</v>
      </c>
      <c r="J274" s="28" t="s">
        <v>1912</v>
      </c>
      <c r="K274" s="29"/>
    </row>
    <row r="275" ht="22.5" customHeight="1">
      <c r="A275" s="4" t="s">
        <v>1913</v>
      </c>
      <c r="B275" s="14" t="str">
        <f t="shared" si="1"/>
        <v>Joseph von Arimathäa</v>
      </c>
      <c r="C275" s="15" t="s">
        <v>1914</v>
      </c>
      <c r="D275" s="4"/>
      <c r="E275" s="26"/>
      <c r="F275" s="8"/>
      <c r="G275" s="4" t="s">
        <v>1915</v>
      </c>
      <c r="H275" s="4" t="s">
        <v>1916</v>
      </c>
      <c r="I275" s="12" t="s">
        <v>679</v>
      </c>
      <c r="J275" s="29" t="s">
        <v>1917</v>
      </c>
      <c r="K275" s="29"/>
    </row>
    <row r="276" ht="22.5" customHeight="1">
      <c r="A276" s="4" t="s">
        <v>1918</v>
      </c>
      <c r="B276" s="14" t="str">
        <f t="shared" si="1"/>
        <v>Maria Magdalena</v>
      </c>
      <c r="C276" s="15" t="s">
        <v>1919</v>
      </c>
      <c r="D276" s="4"/>
      <c r="E276" s="26"/>
      <c r="F276" s="8"/>
      <c r="G276" s="4" t="s">
        <v>1920</v>
      </c>
      <c r="H276" s="4" t="s">
        <v>1921</v>
      </c>
      <c r="I276" s="12" t="s">
        <v>679</v>
      </c>
      <c r="J276" s="16" t="s">
        <v>1922</v>
      </c>
      <c r="K276" s="29"/>
    </row>
    <row r="277" ht="22.5" customHeight="1">
      <c r="A277" s="4" t="s">
        <v>1923</v>
      </c>
      <c r="B277" s="14" t="str">
        <f t="shared" si="1"/>
        <v>Merib-Baal</v>
      </c>
      <c r="C277" s="15" t="s">
        <v>1924</v>
      </c>
      <c r="D277" s="4"/>
      <c r="E277" s="26"/>
      <c r="F277" s="8"/>
      <c r="G277" s="4" t="s">
        <v>1925</v>
      </c>
      <c r="H277" s="4" t="s">
        <v>1926</v>
      </c>
      <c r="I277" s="12" t="s">
        <v>679</v>
      </c>
      <c r="J277" s="16" t="s">
        <v>1927</v>
      </c>
      <c r="K277" s="29"/>
    </row>
    <row r="278" ht="22.5" customHeight="1">
      <c r="A278" s="4" t="s">
        <v>1928</v>
      </c>
      <c r="B278" s="14" t="str">
        <f t="shared" si="1"/>
        <v>Aurora</v>
      </c>
      <c r="C278" s="15" t="s">
        <v>1929</v>
      </c>
      <c r="D278" s="4"/>
      <c r="E278" s="26"/>
      <c r="F278" s="8"/>
      <c r="G278" s="4" t="s">
        <v>1930</v>
      </c>
      <c r="H278" s="4" t="s">
        <v>1931</v>
      </c>
      <c r="I278" s="12" t="s">
        <v>626</v>
      </c>
      <c r="J278" s="16" t="s">
        <v>1932</v>
      </c>
      <c r="K278" s="29"/>
    </row>
    <row r="279" ht="22.5" customHeight="1">
      <c r="A279" s="4" t="s">
        <v>1933</v>
      </c>
      <c r="B279" s="14" t="str">
        <f t="shared" si="1"/>
        <v>Isler, Elisabeth</v>
      </c>
      <c r="C279" s="15" t="s">
        <v>1934</v>
      </c>
      <c r="D279" s="4" t="s">
        <v>1280</v>
      </c>
      <c r="E279" s="26"/>
      <c r="F279" s="8"/>
      <c r="G279" s="13"/>
      <c r="H279" s="4" t="s">
        <v>1935</v>
      </c>
      <c r="I279" s="12" t="s">
        <v>42</v>
      </c>
      <c r="J279" s="29"/>
      <c r="K279" s="29"/>
    </row>
    <row r="280" ht="22.5" customHeight="1">
      <c r="A280" s="4" t="s">
        <v>1936</v>
      </c>
      <c r="B280" s="14" t="str">
        <f t="shared" si="1"/>
        <v>Escher vom Luchs‏, Hans Heinrich (‎1616-1690‎)</v>
      </c>
      <c r="C280" s="15" t="s">
        <v>1365</v>
      </c>
      <c r="D280" s="4" t="s">
        <v>223</v>
      </c>
      <c r="E280" s="26" t="s">
        <v>1937</v>
      </c>
      <c r="F280" s="26" t="s">
        <v>1938</v>
      </c>
      <c r="G280" s="13"/>
      <c r="H280" s="4" t="s">
        <v>1939</v>
      </c>
      <c r="I280" s="12" t="s">
        <v>42</v>
      </c>
      <c r="J280" s="16" t="s">
        <v>1940</v>
      </c>
      <c r="K280" s="29"/>
    </row>
    <row r="281" ht="22.5" customHeight="1">
      <c r="A281" s="4" t="s">
        <v>1941</v>
      </c>
      <c r="B281" s="14" t="str">
        <f t="shared" si="1"/>
        <v>Verlorener Sohn</v>
      </c>
      <c r="C281" s="15" t="s">
        <v>1942</v>
      </c>
      <c r="D281" s="4"/>
      <c r="E281" s="26"/>
      <c r="F281" s="8"/>
      <c r="G281" s="4"/>
      <c r="H281" s="4" t="s">
        <v>1943</v>
      </c>
      <c r="I281" s="12" t="s">
        <v>679</v>
      </c>
      <c r="J281" s="29"/>
      <c r="K281" s="29"/>
    </row>
    <row r="282" ht="22.5" customHeight="1">
      <c r="A282" s="4" t="s">
        <v>1944</v>
      </c>
      <c r="B282" s="14" t="str">
        <f t="shared" si="1"/>
        <v>H. G. Mr. H.</v>
      </c>
      <c r="C282" s="7" t="s">
        <v>1945</v>
      </c>
      <c r="D282" s="4"/>
      <c r="E282" s="26"/>
      <c r="F282" s="8"/>
      <c r="G282" s="13"/>
      <c r="H282" s="4"/>
      <c r="I282" s="19"/>
      <c r="J282" s="29"/>
      <c r="K282" s="29" t="s">
        <v>1901</v>
      </c>
    </row>
    <row r="283" ht="22.5" customHeight="1">
      <c r="A283" s="4" t="s">
        <v>1946</v>
      </c>
      <c r="B283" s="14" t="str">
        <f t="shared" si="1"/>
        <v>Werdmüller, Johann Georg (1616-1678)</v>
      </c>
      <c r="C283" s="15" t="s">
        <v>1947</v>
      </c>
      <c r="D283" s="4" t="s">
        <v>1948</v>
      </c>
      <c r="E283" s="27">
        <v>1616.0</v>
      </c>
      <c r="F283" s="27">
        <v>1678.0</v>
      </c>
      <c r="G283" s="4" t="s">
        <v>1949</v>
      </c>
      <c r="H283" s="4" t="s">
        <v>1950</v>
      </c>
      <c r="I283" s="12" t="s">
        <v>42</v>
      </c>
      <c r="J283" s="16" t="s">
        <v>1951</v>
      </c>
      <c r="K283" s="29"/>
    </row>
    <row r="284" ht="22.5" customHeight="1">
      <c r="A284" s="4" t="s">
        <v>1952</v>
      </c>
      <c r="B284" s="14" t="str">
        <f t="shared" si="1"/>
        <v>Webbe, George (1581-1642)</v>
      </c>
      <c r="C284" s="15" t="s">
        <v>1953</v>
      </c>
      <c r="D284" s="4" t="s">
        <v>1954</v>
      </c>
      <c r="E284" s="26">
        <v>1581.0</v>
      </c>
      <c r="F284" s="8">
        <v>1642.0</v>
      </c>
      <c r="G284" s="4" t="s">
        <v>1955</v>
      </c>
      <c r="H284" s="4" t="s">
        <v>1956</v>
      </c>
      <c r="I284" s="12" t="s">
        <v>42</v>
      </c>
      <c r="J284" s="16" t="s">
        <v>1957</v>
      </c>
      <c r="K284" s="29" t="s">
        <v>1958</v>
      </c>
    </row>
    <row r="285" ht="22.5" customHeight="1">
      <c r="A285" s="4" t="s">
        <v>1959</v>
      </c>
      <c r="B285" s="14" t="str">
        <f t="shared" si="1"/>
        <v>Diebolt, Kaspar (1601-1674)</v>
      </c>
      <c r="C285" s="15" t="s">
        <v>1960</v>
      </c>
      <c r="D285" s="4" t="s">
        <v>1516</v>
      </c>
      <c r="E285" s="26">
        <v>1601.0</v>
      </c>
      <c r="F285" s="8">
        <v>1674.0</v>
      </c>
      <c r="G285" s="4" t="s">
        <v>1961</v>
      </c>
      <c r="H285" s="4" t="s">
        <v>1962</v>
      </c>
      <c r="I285" s="12" t="s">
        <v>42</v>
      </c>
      <c r="J285" s="16" t="s">
        <v>1963</v>
      </c>
      <c r="K285" s="29"/>
    </row>
    <row r="286" ht="22.5" customHeight="1">
      <c r="A286" s="4" t="s">
        <v>1964</v>
      </c>
      <c r="B286" s="14" t="str">
        <f t="shared" si="1"/>
        <v/>
      </c>
      <c r="C286" s="15"/>
      <c r="D286" s="4"/>
      <c r="E286" s="26"/>
      <c r="F286" s="8"/>
      <c r="G286" s="4"/>
      <c r="H286" s="4"/>
      <c r="I286" s="19"/>
      <c r="J286" s="29"/>
      <c r="K286" s="29"/>
    </row>
    <row r="287" ht="22.5" customHeight="1">
      <c r="A287" s="4" t="s">
        <v>1965</v>
      </c>
      <c r="B287" s="14" t="str">
        <f t="shared" si="1"/>
        <v/>
      </c>
      <c r="C287" s="15"/>
      <c r="D287" s="4"/>
      <c r="E287" s="26"/>
      <c r="F287" s="8"/>
      <c r="G287" s="13"/>
      <c r="H287" s="4"/>
      <c r="I287" s="19"/>
      <c r="J287" s="29"/>
      <c r="K287" s="29"/>
    </row>
    <row r="288" ht="22.5" customHeight="1">
      <c r="A288" s="4" t="s">
        <v>1966</v>
      </c>
      <c r="B288" s="14" t="str">
        <f t="shared" si="1"/>
        <v/>
      </c>
      <c r="C288" s="15"/>
      <c r="D288" s="4"/>
      <c r="E288" s="26"/>
      <c r="F288" s="8"/>
      <c r="G288" s="13"/>
      <c r="H288" s="4"/>
      <c r="I288" s="19"/>
      <c r="J288" s="29"/>
      <c r="K288" s="29"/>
    </row>
    <row r="289" ht="22.5" customHeight="1">
      <c r="A289" s="4" t="s">
        <v>1967</v>
      </c>
      <c r="B289" s="14" t="str">
        <f t="shared" si="1"/>
        <v/>
      </c>
      <c r="C289" s="15"/>
      <c r="D289" s="4"/>
      <c r="E289" s="26"/>
      <c r="F289" s="8"/>
      <c r="G289" s="13"/>
      <c r="H289" s="4"/>
      <c r="I289" s="19"/>
      <c r="J289" s="29"/>
      <c r="K289" s="29"/>
    </row>
    <row r="290" ht="22.5" customHeight="1">
      <c r="A290" s="4" t="s">
        <v>1968</v>
      </c>
      <c r="B290" s="14" t="str">
        <f t="shared" si="1"/>
        <v/>
      </c>
      <c r="C290" s="15"/>
      <c r="D290" s="4"/>
      <c r="E290" s="26"/>
      <c r="F290" s="8"/>
      <c r="G290" s="13"/>
      <c r="H290" s="4"/>
      <c r="I290" s="19"/>
      <c r="J290" s="29"/>
      <c r="K290" s="29"/>
    </row>
  </sheetData>
  <conditionalFormatting sqref="G1:G301">
    <cfRule type="expression" dxfId="9" priority="1">
      <formula>AND(G1&lt;&gt;"",COUNTIF(G:G,G1)&gt;1)</formula>
    </cfRule>
  </conditionalFormatting>
  <conditionalFormatting sqref="B1:B301">
    <cfRule type="expression" dxfId="9" priority="2">
      <formula>AND(B1&lt;&gt;"",COUNTIF(B:B,B1)&gt;1)</formula>
    </cfRule>
  </conditionalFormatting>
  <dataValidations>
    <dataValidation type="list" allowBlank="1" sqref="I2:I290">
      <formula1>"Historische Person,Fiktive Figur,Biblische Figur,Mythologische Figur"</formula1>
    </dataValidation>
    <dataValidation allowBlank="1" showDropDown="1" sqref="C2:C290 H2:H290 K2:K290"/>
    <dataValidation allowBlank="1" showDropDown="1" sqref="A2:A290"/>
    <dataValidation allowBlank="1" showDropDown="1" sqref="B2:B290 D2:D290 G2:G290"/>
  </dataValidations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1"/>
    <hyperlink r:id="rId10" ref="J12"/>
    <hyperlink r:id="rId11" ref="J13"/>
    <hyperlink r:id="rId12" ref="J14"/>
    <hyperlink r:id="rId13" ref="J15"/>
    <hyperlink r:id="rId14" ref="J16"/>
    <hyperlink r:id="rId15" ref="J17"/>
    <hyperlink r:id="rId16" ref="J22"/>
    <hyperlink r:id="rId17" ref="J24"/>
    <hyperlink r:id="rId18" ref="J25"/>
    <hyperlink r:id="rId19" ref="J26"/>
    <hyperlink r:id="rId20" ref="J27"/>
    <hyperlink r:id="rId21" ref="J28"/>
    <hyperlink r:id="rId22" ref="J29"/>
    <hyperlink r:id="rId23" ref="J30"/>
    <hyperlink r:id="rId24" ref="J31"/>
    <hyperlink r:id="rId25" ref="J33"/>
    <hyperlink r:id="rId26" ref="J35"/>
    <hyperlink r:id="rId27" ref="J36"/>
    <hyperlink r:id="rId28" ref="J37"/>
    <hyperlink r:id="rId29" ref="J40"/>
    <hyperlink r:id="rId30" ref="J41"/>
    <hyperlink r:id="rId31" ref="J42"/>
    <hyperlink r:id="rId32" ref="J43"/>
    <hyperlink r:id="rId33" ref="J45"/>
    <hyperlink r:id="rId34" ref="J46"/>
    <hyperlink r:id="rId35" ref="J47"/>
    <hyperlink r:id="rId36" ref="J49"/>
    <hyperlink r:id="rId37" ref="J50"/>
    <hyperlink r:id="rId38" ref="J51"/>
    <hyperlink r:id="rId39" ref="J53"/>
    <hyperlink r:id="rId40" ref="J54"/>
    <hyperlink r:id="rId41" ref="J55"/>
    <hyperlink r:id="rId42" ref="J57"/>
    <hyperlink r:id="rId43" ref="J59"/>
    <hyperlink r:id="rId44" ref="J60"/>
    <hyperlink r:id="rId45" ref="J61"/>
    <hyperlink r:id="rId46" ref="J62"/>
    <hyperlink r:id="rId47" ref="J63"/>
    <hyperlink r:id="rId48" ref="J64"/>
    <hyperlink r:id="rId49" ref="J65"/>
    <hyperlink r:id="rId50" ref="J66"/>
    <hyperlink r:id="rId51" ref="J67"/>
    <hyperlink r:id="rId52" ref="J68"/>
    <hyperlink r:id="rId53" ref="J69"/>
    <hyperlink r:id="rId54" ref="J70"/>
    <hyperlink r:id="rId55" ref="J72"/>
    <hyperlink r:id="rId56" ref="J74"/>
    <hyperlink r:id="rId57" location="Abigajil,_die_Frau_Nabals_und_spätere_Frau_Davids" ref="J75"/>
    <hyperlink r:id="rId58" ref="J76"/>
    <hyperlink r:id="rId59" ref="J77"/>
    <hyperlink r:id="rId60" ref="J78"/>
    <hyperlink r:id="rId61" ref="J79"/>
    <hyperlink r:id="rId62" ref="J80"/>
    <hyperlink r:id="rId63" ref="J81"/>
    <hyperlink r:id="rId64" ref="J82"/>
    <hyperlink r:id="rId65" ref="J83"/>
    <hyperlink r:id="rId66" ref="J84"/>
    <hyperlink r:id="rId67" ref="J85"/>
    <hyperlink r:id="rId68" ref="J86"/>
    <hyperlink r:id="rId69" ref="J87"/>
    <hyperlink r:id="rId70" ref="J89"/>
    <hyperlink r:id="rId71" ref="J90"/>
    <hyperlink r:id="rId72" ref="J95"/>
    <hyperlink r:id="rId73" location="Werk" ref="J96"/>
    <hyperlink r:id="rId74" ref="J97"/>
    <hyperlink r:id="rId75" ref="J98"/>
    <hyperlink r:id="rId76" ref="J99"/>
    <hyperlink r:id="rId77" ref="J100"/>
    <hyperlink r:id="rId78" ref="J101"/>
    <hyperlink r:id="rId79" ref="J102"/>
    <hyperlink r:id="rId80" ref="J103"/>
    <hyperlink r:id="rId81" ref="J104"/>
    <hyperlink r:id="rId82" ref="J105"/>
    <hyperlink r:id="rId83" ref="J106"/>
    <hyperlink r:id="rId84" ref="J107"/>
    <hyperlink r:id="rId85" ref="J108"/>
    <hyperlink r:id="rId86" ref="J109"/>
    <hyperlink r:id="rId87" ref="J122"/>
    <hyperlink r:id="rId88" ref="J123"/>
    <hyperlink r:id="rId89" ref="J125"/>
    <hyperlink r:id="rId90" ref="J126"/>
    <hyperlink r:id="rId91" ref="J127"/>
    <hyperlink r:id="rId92" ref="J128"/>
    <hyperlink r:id="rId93" ref="J129"/>
    <hyperlink r:id="rId94" ref="J132"/>
    <hyperlink r:id="rId95" ref="J133"/>
    <hyperlink r:id="rId96" ref="J134"/>
    <hyperlink r:id="rId97" ref="J137"/>
    <hyperlink r:id="rId98" ref="J138"/>
    <hyperlink r:id="rId99" ref="J140"/>
    <hyperlink r:id="rId100" ref="J141"/>
    <hyperlink r:id="rId101" ref="J142"/>
    <hyperlink r:id="rId102" ref="J143"/>
    <hyperlink r:id="rId103" ref="J144"/>
    <hyperlink r:id="rId104" ref="J145"/>
    <hyperlink r:id="rId105" ref="J146"/>
    <hyperlink r:id="rId106" ref="J151"/>
    <hyperlink r:id="rId107" ref="J154"/>
    <hyperlink r:id="rId108" location="person_I298580" ref="J156"/>
    <hyperlink r:id="rId109" ref="J157"/>
    <hyperlink r:id="rId110" ref="J158"/>
    <hyperlink r:id="rId111" ref="J160"/>
    <hyperlink r:id="rId112" ref="K163"/>
    <hyperlink r:id="rId113" location="person_I295072" ref="J164"/>
    <hyperlink r:id="rId114" ref="J165"/>
    <hyperlink r:id="rId115" ref="J173"/>
    <hyperlink r:id="rId116" ref="J179"/>
    <hyperlink r:id="rId117" ref="J180"/>
    <hyperlink r:id="rId118" ref="J181"/>
    <hyperlink r:id="rId119" ref="J182"/>
    <hyperlink r:id="rId120" ref="J183"/>
    <hyperlink r:id="rId121" ref="J184"/>
    <hyperlink r:id="rId122" ref="J185"/>
    <hyperlink r:id="rId123" ref="J186"/>
    <hyperlink r:id="rId124" ref="J187"/>
    <hyperlink r:id="rId125" ref="J188"/>
    <hyperlink r:id="rId126" ref="J189"/>
    <hyperlink r:id="rId127" ref="J190"/>
    <hyperlink r:id="rId128" ref="J191"/>
    <hyperlink r:id="rId129" ref="J192"/>
    <hyperlink r:id="rId130" ref="J193"/>
    <hyperlink r:id="rId131" ref="J194"/>
    <hyperlink r:id="rId132" ref="J195"/>
    <hyperlink r:id="rId133" ref="J196"/>
    <hyperlink r:id="rId134" ref="J197"/>
    <hyperlink r:id="rId135" ref="J200"/>
    <hyperlink r:id="rId136" ref="J201"/>
    <hyperlink r:id="rId137" ref="J202"/>
    <hyperlink r:id="rId138" ref="J203"/>
    <hyperlink r:id="rId139" ref="J204"/>
    <hyperlink r:id="rId140" ref="J205"/>
    <hyperlink r:id="rId141" ref="J206"/>
    <hyperlink r:id="rId142" ref="J208"/>
    <hyperlink r:id="rId143" ref="J209"/>
    <hyperlink r:id="rId144" ref="J210"/>
    <hyperlink r:id="rId145" ref="J213"/>
    <hyperlink r:id="rId146" ref="J214"/>
    <hyperlink r:id="rId147" ref="J215"/>
    <hyperlink r:id="rId148" ref="J216"/>
    <hyperlink r:id="rId149" ref="J217"/>
    <hyperlink r:id="rId150" ref="J218"/>
    <hyperlink r:id="rId151" ref="J219"/>
    <hyperlink r:id="rId152" ref="J228"/>
    <hyperlink r:id="rId153" ref="J232"/>
    <hyperlink r:id="rId154" ref="J234"/>
    <hyperlink r:id="rId155" ref="J237"/>
    <hyperlink r:id="rId156" ref="J238"/>
    <hyperlink r:id="rId157" ref="J249"/>
    <hyperlink r:id="rId158" ref="J250"/>
    <hyperlink r:id="rId159" ref="J254"/>
    <hyperlink r:id="rId160" ref="J261"/>
    <hyperlink r:id="rId161" ref="J263"/>
    <hyperlink r:id="rId162" ref="K263"/>
    <hyperlink r:id="rId163" ref="J264"/>
    <hyperlink r:id="rId164" ref="J267"/>
    <hyperlink r:id="rId165" ref="J268"/>
    <hyperlink r:id="rId166" ref="J269"/>
    <hyperlink r:id="rId167" ref="J270"/>
    <hyperlink r:id="rId168" ref="J271"/>
    <hyperlink r:id="rId169" ref="J274"/>
    <hyperlink r:id="rId170" ref="J276"/>
    <hyperlink r:id="rId171" ref="J277"/>
    <hyperlink r:id="rId172" ref="J278"/>
    <hyperlink r:id="rId173" location="person_I298580" ref="J280"/>
    <hyperlink r:id="rId174" ref="J283"/>
    <hyperlink r:id="rId175" ref="J284"/>
    <hyperlink r:id="rId176" ref="J285"/>
  </hyperlinks>
  <drawing r:id="rId177"/>
  <tableParts count="1">
    <tablePart r:id="rId17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13"/>
    <col customWidth="1" min="2" max="2" width="30.63"/>
    <col customWidth="1" min="3" max="3" width="23.13"/>
    <col customWidth="1" min="4" max="4" width="17.75"/>
    <col customWidth="1" min="5" max="6" width="22.25"/>
    <col customWidth="1" min="7" max="7" width="25.13"/>
  </cols>
  <sheetData>
    <row r="1" ht="22.5" customHeight="1">
      <c r="A1" s="1" t="s">
        <v>0</v>
      </c>
      <c r="B1" s="2" t="s">
        <v>4</v>
      </c>
      <c r="C1" s="1" t="s">
        <v>5</v>
      </c>
      <c r="D1" s="1" t="s">
        <v>8</v>
      </c>
      <c r="E1" s="3" t="s">
        <v>11</v>
      </c>
      <c r="F1" s="1" t="s">
        <v>18</v>
      </c>
      <c r="G1" s="1" t="s">
        <v>16</v>
      </c>
    </row>
    <row r="2" ht="22.5" customHeight="1">
      <c r="A2" s="4" t="s">
        <v>23</v>
      </c>
      <c r="B2" s="6" t="str">
        <f t="shared" ref="B2:B132" si="1">CONCATENATE(C2)</f>
        <v>Zürich</v>
      </c>
      <c r="C2" s="4" t="s">
        <v>28</v>
      </c>
      <c r="D2" s="8"/>
      <c r="E2" s="10">
        <v>2657896.0</v>
      </c>
      <c r="F2" s="12" t="s">
        <v>31</v>
      </c>
      <c r="G2" s="4" t="s">
        <v>32</v>
      </c>
    </row>
    <row r="3" ht="22.5" customHeight="1">
      <c r="A3" s="4" t="s">
        <v>43</v>
      </c>
      <c r="B3" s="6" t="str">
        <f t="shared" si="1"/>
        <v>Basel</v>
      </c>
      <c r="C3" s="4" t="s">
        <v>45</v>
      </c>
      <c r="D3" s="8"/>
      <c r="E3" s="8">
        <v>2661604.0</v>
      </c>
      <c r="F3" s="12" t="s">
        <v>31</v>
      </c>
      <c r="G3" s="4" t="s">
        <v>32</v>
      </c>
    </row>
    <row r="4" ht="22.5" customHeight="1">
      <c r="A4" s="4" t="s">
        <v>52</v>
      </c>
      <c r="B4" s="17" t="str">
        <f t="shared" si="1"/>
        <v>Eidgenossenschaft</v>
      </c>
      <c r="C4" s="4" t="s">
        <v>55</v>
      </c>
      <c r="D4" s="8" t="s">
        <v>56</v>
      </c>
      <c r="E4" s="8">
        <v>2658434.0</v>
      </c>
      <c r="F4" s="19"/>
      <c r="G4" s="4" t="s">
        <v>60</v>
      </c>
    </row>
    <row r="5" ht="22.5" customHeight="1">
      <c r="A5" s="4" t="s">
        <v>66</v>
      </c>
      <c r="B5" s="17" t="str">
        <f t="shared" si="1"/>
        <v>Limmat</v>
      </c>
      <c r="C5" s="4" t="s">
        <v>70</v>
      </c>
      <c r="D5" s="9"/>
      <c r="E5" s="8">
        <v>2659887.0</v>
      </c>
      <c r="F5" s="12" t="s">
        <v>73</v>
      </c>
      <c r="G5" s="4" t="s">
        <v>75</v>
      </c>
    </row>
    <row r="6" ht="22.5" customHeight="1">
      <c r="A6" s="4" t="s">
        <v>80</v>
      </c>
      <c r="B6" s="17" t="str">
        <f t="shared" si="1"/>
        <v>Weinfelden</v>
      </c>
      <c r="C6" s="4" t="s">
        <v>81</v>
      </c>
      <c r="D6" s="9"/>
      <c r="E6" s="8">
        <v>2658036.0</v>
      </c>
      <c r="F6" s="12" t="s">
        <v>31</v>
      </c>
      <c r="G6" s="13"/>
    </row>
    <row r="7" ht="22.5" customHeight="1">
      <c r="A7" s="4" t="s">
        <v>88</v>
      </c>
      <c r="B7" s="17" t="str">
        <f t="shared" si="1"/>
        <v>Main</v>
      </c>
      <c r="C7" s="15" t="s">
        <v>92</v>
      </c>
      <c r="D7" s="9"/>
      <c r="E7" s="8">
        <v>2874265.0</v>
      </c>
      <c r="F7" s="12" t="s">
        <v>73</v>
      </c>
      <c r="G7" s="4" t="s">
        <v>94</v>
      </c>
    </row>
    <row r="8" ht="22.5" customHeight="1">
      <c r="A8" s="4" t="s">
        <v>98</v>
      </c>
      <c r="B8" s="17" t="str">
        <f t="shared" si="1"/>
        <v>Zürichsee</v>
      </c>
      <c r="C8" s="4" t="s">
        <v>101</v>
      </c>
      <c r="D8" s="9"/>
      <c r="E8" s="8">
        <v>2657892.0</v>
      </c>
      <c r="F8" s="12" t="s">
        <v>73</v>
      </c>
      <c r="G8" s="13"/>
    </row>
    <row r="9" ht="22.5" customHeight="1">
      <c r="A9" s="4" t="s">
        <v>114</v>
      </c>
      <c r="B9" s="17" t="str">
        <f t="shared" si="1"/>
        <v>Thalwil</v>
      </c>
      <c r="C9" s="4" t="s">
        <v>117</v>
      </c>
      <c r="D9" s="9"/>
      <c r="E9" s="8">
        <v>2658388.0</v>
      </c>
      <c r="F9" s="12" t="s">
        <v>120</v>
      </c>
      <c r="G9" s="4" t="s">
        <v>122</v>
      </c>
    </row>
    <row r="10" ht="22.5" customHeight="1">
      <c r="A10" s="4" t="s">
        <v>126</v>
      </c>
      <c r="B10" s="17" t="str">
        <f t="shared" si="1"/>
        <v>Bern</v>
      </c>
      <c r="C10" s="4" t="s">
        <v>128</v>
      </c>
      <c r="D10" s="9"/>
      <c r="E10" s="8">
        <v>2661552.0</v>
      </c>
      <c r="F10" s="12" t="s">
        <v>31</v>
      </c>
      <c r="G10" s="4" t="s">
        <v>32</v>
      </c>
    </row>
    <row r="11" ht="22.5" customHeight="1">
      <c r="A11" s="4" t="s">
        <v>137</v>
      </c>
      <c r="B11" s="17" t="str">
        <f t="shared" si="1"/>
        <v>Gottstatt</v>
      </c>
      <c r="C11" s="4" t="s">
        <v>140</v>
      </c>
      <c r="D11" s="9"/>
      <c r="E11" s="9"/>
      <c r="F11" s="18"/>
      <c r="G11" s="13"/>
    </row>
    <row r="12" ht="22.5" customHeight="1">
      <c r="A12" s="4" t="s">
        <v>148</v>
      </c>
      <c r="B12" s="17" t="str">
        <f t="shared" si="1"/>
        <v>Thorberg</v>
      </c>
      <c r="C12" s="4" t="s">
        <v>152</v>
      </c>
      <c r="D12" s="9"/>
      <c r="E12" s="8">
        <v>2658379.0</v>
      </c>
      <c r="F12" s="18"/>
      <c r="G12" s="4" t="s">
        <v>155</v>
      </c>
    </row>
    <row r="13" ht="22.5" customHeight="1">
      <c r="A13" s="4" t="s">
        <v>158</v>
      </c>
      <c r="B13" s="17" t="str">
        <f t="shared" si="1"/>
        <v>London</v>
      </c>
      <c r="C13" s="4" t="s">
        <v>160</v>
      </c>
      <c r="D13" s="9"/>
      <c r="E13" s="8">
        <v>2643743.0</v>
      </c>
      <c r="F13" s="12" t="s">
        <v>31</v>
      </c>
      <c r="G13" s="13"/>
    </row>
    <row r="14" ht="22.5" customHeight="1">
      <c r="A14" s="4" t="s">
        <v>170</v>
      </c>
      <c r="B14" s="17" t="str">
        <f t="shared" si="1"/>
        <v>England</v>
      </c>
      <c r="C14" s="4" t="s">
        <v>172</v>
      </c>
      <c r="D14" s="9"/>
      <c r="E14" s="8">
        <v>6269131.0</v>
      </c>
      <c r="F14" s="12" t="s">
        <v>175</v>
      </c>
      <c r="G14" s="13"/>
    </row>
    <row r="15" ht="22.5" customHeight="1">
      <c r="A15" s="4" t="s">
        <v>180</v>
      </c>
      <c r="B15" s="17" t="str">
        <f t="shared" si="1"/>
        <v>Bethlehem</v>
      </c>
      <c r="C15" s="4" t="s">
        <v>182</v>
      </c>
      <c r="D15" s="9"/>
      <c r="E15" s="8">
        <v>284315.0</v>
      </c>
      <c r="F15" s="12" t="s">
        <v>31</v>
      </c>
      <c r="G15" s="4" t="s">
        <v>189</v>
      </c>
    </row>
    <row r="16" ht="22.5" customHeight="1">
      <c r="A16" s="4" t="s">
        <v>195</v>
      </c>
      <c r="B16" s="17" t="str">
        <f t="shared" si="1"/>
        <v>Parnass </v>
      </c>
      <c r="C16" s="4" t="s">
        <v>197</v>
      </c>
      <c r="D16" s="8" t="s">
        <v>198</v>
      </c>
      <c r="E16" s="8">
        <v>255730.0</v>
      </c>
      <c r="F16" s="12" t="s">
        <v>199</v>
      </c>
      <c r="G16" s="15" t="s">
        <v>200</v>
      </c>
    </row>
    <row r="17" ht="22.5" customHeight="1">
      <c r="A17" s="4" t="s">
        <v>208</v>
      </c>
      <c r="B17" s="17" t="str">
        <f t="shared" si="1"/>
        <v>Traubenberg</v>
      </c>
      <c r="C17" s="4" t="s">
        <v>211</v>
      </c>
      <c r="D17" s="9"/>
      <c r="E17" s="9"/>
      <c r="F17" s="18"/>
      <c r="G17" s="4" t="s">
        <v>214</v>
      </c>
    </row>
    <row r="18" ht="22.5" customHeight="1">
      <c r="A18" s="4" t="s">
        <v>219</v>
      </c>
      <c r="B18" s="17" t="str">
        <f t="shared" si="1"/>
        <v>Babylon</v>
      </c>
      <c r="C18" s="4" t="s">
        <v>222</v>
      </c>
      <c r="D18" s="8" t="s">
        <v>224</v>
      </c>
      <c r="E18" s="8">
        <v>98228.0</v>
      </c>
      <c r="F18" s="12" t="s">
        <v>31</v>
      </c>
      <c r="G18" s="4" t="s">
        <v>226</v>
      </c>
    </row>
    <row r="19" ht="22.5" customHeight="1">
      <c r="A19" s="4" t="s">
        <v>231</v>
      </c>
      <c r="B19" s="17" t="str">
        <f t="shared" si="1"/>
        <v>Canaan</v>
      </c>
      <c r="C19" s="4" t="s">
        <v>232</v>
      </c>
      <c r="D19" s="8" t="s">
        <v>233</v>
      </c>
      <c r="E19" s="30"/>
      <c r="F19" s="12" t="s">
        <v>235</v>
      </c>
      <c r="G19" s="4" t="s">
        <v>236</v>
      </c>
    </row>
    <row r="20" ht="22.5" customHeight="1">
      <c r="A20" s="4" t="s">
        <v>242</v>
      </c>
      <c r="B20" s="17" t="str">
        <f t="shared" si="1"/>
        <v>Ägypten</v>
      </c>
      <c r="C20" s="4" t="s">
        <v>245</v>
      </c>
      <c r="D20" s="8" t="s">
        <v>248</v>
      </c>
      <c r="E20" s="8">
        <v>357994.0</v>
      </c>
      <c r="F20" s="12" t="s">
        <v>175</v>
      </c>
      <c r="G20" s="13"/>
    </row>
    <row r="21" ht="22.5" customHeight="1">
      <c r="A21" s="4" t="s">
        <v>252</v>
      </c>
      <c r="B21" s="17" t="str">
        <f t="shared" si="1"/>
        <v>Hermon</v>
      </c>
      <c r="C21" s="4" t="s">
        <v>254</v>
      </c>
      <c r="D21" s="9"/>
      <c r="E21" s="8">
        <v>6252331.0</v>
      </c>
      <c r="F21" s="12" t="s">
        <v>199</v>
      </c>
      <c r="G21" s="4" t="s">
        <v>258</v>
      </c>
    </row>
    <row r="22" ht="22.5" customHeight="1">
      <c r="A22" s="4" t="s">
        <v>266</v>
      </c>
      <c r="B22" s="17" t="str">
        <f t="shared" si="1"/>
        <v>Jerusalem</v>
      </c>
      <c r="C22" s="4" t="s">
        <v>267</v>
      </c>
      <c r="D22" s="8" t="s">
        <v>268</v>
      </c>
      <c r="E22" s="8">
        <v>281184.0</v>
      </c>
      <c r="F22" s="12" t="s">
        <v>31</v>
      </c>
      <c r="G22" s="13"/>
    </row>
    <row r="23" ht="22.5" customHeight="1">
      <c r="A23" s="4" t="s">
        <v>273</v>
      </c>
      <c r="B23" s="17" t="str">
        <f t="shared" si="1"/>
        <v>Jordan</v>
      </c>
      <c r="C23" s="4" t="s">
        <v>276</v>
      </c>
      <c r="D23" s="9"/>
      <c r="E23" s="8">
        <v>294624.0</v>
      </c>
      <c r="F23" s="12" t="s">
        <v>73</v>
      </c>
      <c r="G23" s="4" t="s">
        <v>278</v>
      </c>
    </row>
    <row r="24" ht="22.5" customHeight="1">
      <c r="A24" s="4" t="s">
        <v>279</v>
      </c>
      <c r="B24" s="17" t="str">
        <f t="shared" si="1"/>
        <v>Rotes Meer</v>
      </c>
      <c r="C24" s="4" t="s">
        <v>282</v>
      </c>
      <c r="D24" s="9"/>
      <c r="E24" s="8">
        <v>350155.0</v>
      </c>
      <c r="F24" s="12" t="s">
        <v>73</v>
      </c>
      <c r="G24" s="13"/>
    </row>
    <row r="25" ht="22.5" customHeight="1">
      <c r="A25" s="4" t="s">
        <v>288</v>
      </c>
      <c r="B25" s="17" t="str">
        <f t="shared" si="1"/>
        <v>Juda</v>
      </c>
      <c r="C25" s="4" t="s">
        <v>290</v>
      </c>
      <c r="D25" s="9"/>
      <c r="E25" s="9"/>
      <c r="F25" s="18"/>
      <c r="G25" s="4" t="s">
        <v>294</v>
      </c>
    </row>
    <row r="26" ht="22.5" customHeight="1">
      <c r="A26" s="4" t="s">
        <v>297</v>
      </c>
      <c r="B26" s="17" t="str">
        <f t="shared" si="1"/>
        <v>Moab</v>
      </c>
      <c r="C26" s="4" t="s">
        <v>298</v>
      </c>
      <c r="D26" s="9"/>
      <c r="E26" s="9"/>
      <c r="F26" s="18"/>
      <c r="G26" s="4" t="s">
        <v>300</v>
      </c>
    </row>
    <row r="27" ht="22.5" customHeight="1">
      <c r="A27" s="4" t="s">
        <v>304</v>
      </c>
      <c r="B27" s="17" t="str">
        <f t="shared" si="1"/>
        <v>Ammon</v>
      </c>
      <c r="C27" s="4" t="s">
        <v>306</v>
      </c>
      <c r="D27" s="9"/>
      <c r="E27" s="8"/>
      <c r="F27" s="18"/>
      <c r="G27" s="4" t="s">
        <v>309</v>
      </c>
    </row>
    <row r="28" ht="22.5" customHeight="1">
      <c r="A28" s="4" t="s">
        <v>312</v>
      </c>
      <c r="B28" s="17" t="str">
        <f t="shared" si="1"/>
        <v>Zion</v>
      </c>
      <c r="C28" s="4" t="s">
        <v>314</v>
      </c>
      <c r="D28" s="8" t="s">
        <v>315</v>
      </c>
      <c r="E28" s="8">
        <v>281214.0</v>
      </c>
      <c r="F28" s="12" t="s">
        <v>199</v>
      </c>
      <c r="G28" s="4" t="s">
        <v>318</v>
      </c>
    </row>
    <row r="29" ht="22.5" customHeight="1">
      <c r="A29" s="4" t="s">
        <v>321</v>
      </c>
      <c r="B29" s="17" t="str">
        <f t="shared" si="1"/>
        <v>Assur</v>
      </c>
      <c r="C29" s="4" t="s">
        <v>325</v>
      </c>
      <c r="D29" s="9"/>
      <c r="E29" s="9"/>
      <c r="F29" s="12" t="s">
        <v>31</v>
      </c>
      <c r="G29" s="4" t="s">
        <v>327</v>
      </c>
    </row>
    <row r="30" ht="22.5" customHeight="1">
      <c r="A30" s="4" t="s">
        <v>328</v>
      </c>
      <c r="B30" s="17" t="str">
        <f t="shared" si="1"/>
        <v>Israel</v>
      </c>
      <c r="C30" s="4" t="s">
        <v>331</v>
      </c>
      <c r="D30" s="9"/>
      <c r="E30" s="8">
        <v>294640.0</v>
      </c>
      <c r="F30" s="12" t="s">
        <v>175</v>
      </c>
      <c r="G30" s="4" t="s">
        <v>334</v>
      </c>
    </row>
    <row r="31" ht="22.5" customHeight="1">
      <c r="A31" s="4" t="s">
        <v>340</v>
      </c>
      <c r="B31" s="17" t="str">
        <f t="shared" si="1"/>
        <v>Nazaret</v>
      </c>
      <c r="C31" s="4" t="s">
        <v>342</v>
      </c>
      <c r="D31" s="9"/>
      <c r="E31" s="8">
        <v>294098.0</v>
      </c>
      <c r="F31" s="12" t="s">
        <v>31</v>
      </c>
      <c r="G31" s="4" t="s">
        <v>344</v>
      </c>
    </row>
    <row r="32" ht="22.5" customHeight="1">
      <c r="A32" s="4" t="s">
        <v>349</v>
      </c>
      <c r="B32" s="17" t="str">
        <f t="shared" si="1"/>
        <v>Rom</v>
      </c>
      <c r="C32" s="4" t="s">
        <v>352</v>
      </c>
      <c r="D32" s="9"/>
      <c r="E32" s="8">
        <v>3169070.0</v>
      </c>
      <c r="F32" s="12" t="s">
        <v>31</v>
      </c>
      <c r="G32" s="4" t="s">
        <v>355</v>
      </c>
    </row>
    <row r="33" ht="22.5" customHeight="1">
      <c r="A33" s="4" t="s">
        <v>358</v>
      </c>
      <c r="B33" s="17" t="str">
        <f t="shared" si="1"/>
        <v>Samaria</v>
      </c>
      <c r="C33" s="4" t="s">
        <v>360</v>
      </c>
      <c r="D33" s="8" t="s">
        <v>361</v>
      </c>
      <c r="E33" s="8">
        <v>284584.0</v>
      </c>
      <c r="F33" s="12" t="s">
        <v>235</v>
      </c>
      <c r="G33" s="4" t="s">
        <v>362</v>
      </c>
    </row>
    <row r="34" ht="22.5" customHeight="1">
      <c r="A34" s="4" t="s">
        <v>367</v>
      </c>
      <c r="B34" s="17" t="str">
        <f t="shared" si="1"/>
        <v>Kedronbach</v>
      </c>
      <c r="C34" s="4" t="s">
        <v>370</v>
      </c>
      <c r="D34" s="9"/>
      <c r="E34" s="30"/>
      <c r="F34" s="12" t="s">
        <v>73</v>
      </c>
      <c r="G34" s="4" t="s">
        <v>373</v>
      </c>
    </row>
    <row r="35" ht="22.5" customHeight="1">
      <c r="A35" s="4" t="s">
        <v>375</v>
      </c>
      <c r="B35" s="17" t="str">
        <f t="shared" si="1"/>
        <v>Garten von Getsemani</v>
      </c>
      <c r="C35" s="4" t="s">
        <v>376</v>
      </c>
      <c r="D35" s="9"/>
      <c r="E35" s="30"/>
      <c r="F35" s="12" t="s">
        <v>379</v>
      </c>
      <c r="G35" s="4"/>
    </row>
    <row r="36" ht="22.5" customHeight="1">
      <c r="A36" s="4" t="s">
        <v>383</v>
      </c>
      <c r="B36" s="17" t="str">
        <f t="shared" si="1"/>
        <v>Urdorf</v>
      </c>
      <c r="C36" s="4" t="s">
        <v>384</v>
      </c>
      <c r="D36" s="9"/>
      <c r="E36" s="8">
        <v>7287390.0</v>
      </c>
      <c r="F36" s="12" t="s">
        <v>120</v>
      </c>
      <c r="G36" s="4" t="s">
        <v>387</v>
      </c>
    </row>
    <row r="37" ht="22.5" customHeight="1">
      <c r="A37" s="4" t="s">
        <v>393</v>
      </c>
      <c r="B37" s="17" t="str">
        <f t="shared" si="1"/>
        <v>Geiren-Rein</v>
      </c>
      <c r="C37" s="4" t="s">
        <v>396</v>
      </c>
      <c r="D37" s="9"/>
      <c r="E37" s="30"/>
      <c r="F37" s="12" t="s">
        <v>73</v>
      </c>
      <c r="G37" s="4"/>
    </row>
    <row r="38" ht="22.5" customHeight="1">
      <c r="A38" s="4" t="s">
        <v>399</v>
      </c>
      <c r="B38" s="17" t="str">
        <f t="shared" si="1"/>
        <v>Aeugst</v>
      </c>
      <c r="C38" s="4" t="s">
        <v>403</v>
      </c>
      <c r="D38" s="8" t="s">
        <v>405</v>
      </c>
      <c r="E38" s="8">
        <v>7285035.0</v>
      </c>
      <c r="F38" s="12" t="s">
        <v>120</v>
      </c>
      <c r="G38" s="4" t="s">
        <v>406</v>
      </c>
    </row>
    <row r="39" ht="22.5" customHeight="1">
      <c r="A39" s="4" t="s">
        <v>408</v>
      </c>
      <c r="B39" s="17" t="str">
        <f t="shared" si="1"/>
        <v>Riedt</v>
      </c>
      <c r="C39" s="4" t="s">
        <v>409</v>
      </c>
      <c r="D39" s="9"/>
      <c r="E39" s="9"/>
      <c r="F39" s="18"/>
      <c r="G39" s="4"/>
    </row>
    <row r="40" ht="22.5" customHeight="1">
      <c r="A40" s="4" t="s">
        <v>417</v>
      </c>
      <c r="B40" s="17" t="str">
        <f t="shared" si="1"/>
        <v>Europa</v>
      </c>
      <c r="C40" s="4" t="s">
        <v>419</v>
      </c>
      <c r="D40" s="9"/>
      <c r="E40" s="8">
        <v>6255148.0</v>
      </c>
      <c r="F40" s="12" t="s">
        <v>422</v>
      </c>
      <c r="G40" s="4"/>
    </row>
    <row r="41" ht="22.5" customHeight="1">
      <c r="A41" s="4" t="s">
        <v>426</v>
      </c>
      <c r="B41" s="17" t="str">
        <f t="shared" si="1"/>
        <v>Osir</v>
      </c>
      <c r="C41" s="4" t="s">
        <v>429</v>
      </c>
      <c r="D41" s="8" t="s">
        <v>434</v>
      </c>
      <c r="E41" s="30"/>
      <c r="F41" s="12" t="s">
        <v>379</v>
      </c>
      <c r="G41" s="4" t="s">
        <v>437</v>
      </c>
    </row>
    <row r="42" ht="22.5" customHeight="1">
      <c r="A42" s="4" t="s">
        <v>439</v>
      </c>
      <c r="B42" s="17" t="str">
        <f t="shared" si="1"/>
        <v>Basadingen</v>
      </c>
      <c r="C42" s="4" t="s">
        <v>441</v>
      </c>
      <c r="D42" s="9"/>
      <c r="E42" s="8">
        <v>2661605.0</v>
      </c>
      <c r="F42" s="18"/>
      <c r="G42" s="4" t="s">
        <v>445</v>
      </c>
    </row>
    <row r="43" ht="22.5" customHeight="1">
      <c r="A43" s="4" t="s">
        <v>450</v>
      </c>
      <c r="B43" s="17" t="str">
        <f t="shared" si="1"/>
        <v>Diessenhofen</v>
      </c>
      <c r="C43" s="4" t="s">
        <v>451</v>
      </c>
      <c r="D43" s="9"/>
      <c r="E43" s="8">
        <v>7285651.0</v>
      </c>
      <c r="F43" s="12" t="s">
        <v>120</v>
      </c>
      <c r="G43" s="4" t="s">
        <v>453</v>
      </c>
    </row>
    <row r="44" ht="22.5" customHeight="1">
      <c r="A44" s="4" t="s">
        <v>464</v>
      </c>
      <c r="B44" s="17" t="str">
        <f t="shared" si="1"/>
        <v>Rhein</v>
      </c>
      <c r="C44" s="4" t="s">
        <v>467</v>
      </c>
      <c r="D44" s="9"/>
      <c r="E44" s="8">
        <v>2748179.0</v>
      </c>
      <c r="F44" s="12" t="s">
        <v>73</v>
      </c>
      <c r="G44" s="4" t="s">
        <v>75</v>
      </c>
    </row>
    <row r="45" ht="22.5" customHeight="1">
      <c r="A45" s="4" t="s">
        <v>470</v>
      </c>
      <c r="B45" s="17" t="str">
        <f t="shared" si="1"/>
        <v>Arabisches Reich</v>
      </c>
      <c r="C45" s="4" t="s">
        <v>474</v>
      </c>
      <c r="D45" s="9"/>
      <c r="E45" s="9"/>
      <c r="F45" s="18"/>
      <c r="G45" s="4" t="s">
        <v>478</v>
      </c>
    </row>
    <row r="46" ht="22.5" customHeight="1">
      <c r="A46" s="4" t="s">
        <v>480</v>
      </c>
      <c r="B46" s="17" t="str">
        <f t="shared" si="1"/>
        <v>Libanon</v>
      </c>
      <c r="C46" s="4" t="s">
        <v>482</v>
      </c>
      <c r="D46" s="9"/>
      <c r="E46" s="8">
        <v>272103.0</v>
      </c>
      <c r="F46" s="12" t="s">
        <v>175</v>
      </c>
      <c r="G46" s="4" t="s">
        <v>487</v>
      </c>
    </row>
    <row r="47" ht="22.5" customHeight="1">
      <c r="A47" s="4" t="s">
        <v>493</v>
      </c>
      <c r="B47" s="17" t="str">
        <f t="shared" si="1"/>
        <v>Emmaus</v>
      </c>
      <c r="C47" s="4" t="s">
        <v>494</v>
      </c>
      <c r="D47" s="9"/>
      <c r="E47" s="9"/>
      <c r="F47" s="12" t="s">
        <v>379</v>
      </c>
      <c r="G47" s="4" t="s">
        <v>496</v>
      </c>
    </row>
    <row r="48" ht="22.5" customHeight="1">
      <c r="A48" s="4" t="s">
        <v>501</v>
      </c>
      <c r="B48" s="17" t="str">
        <f t="shared" si="1"/>
        <v>Helikon</v>
      </c>
      <c r="C48" s="4" t="s">
        <v>503</v>
      </c>
      <c r="D48" s="9"/>
      <c r="E48" s="8">
        <v>262733.0</v>
      </c>
      <c r="F48" s="12" t="s">
        <v>199</v>
      </c>
      <c r="G48" s="4" t="s">
        <v>506</v>
      </c>
    </row>
    <row r="49" ht="22.5" customHeight="1">
      <c r="A49" s="4" t="s">
        <v>508</v>
      </c>
      <c r="B49" s="17" t="str">
        <f t="shared" si="1"/>
        <v>Pindos</v>
      </c>
      <c r="C49" s="4" t="s">
        <v>509</v>
      </c>
      <c r="D49" s="9"/>
      <c r="E49" s="8">
        <v>363258.0</v>
      </c>
      <c r="F49" s="12" t="s">
        <v>199</v>
      </c>
      <c r="G49" s="4" t="s">
        <v>515</v>
      </c>
    </row>
    <row r="50" ht="22.5" customHeight="1">
      <c r="A50" s="4" t="s">
        <v>520</v>
      </c>
      <c r="B50" s="17" t="str">
        <f t="shared" si="1"/>
        <v>Neckar</v>
      </c>
      <c r="C50" s="4" t="s">
        <v>521</v>
      </c>
      <c r="D50" s="9"/>
      <c r="E50" s="8">
        <v>2866784.0</v>
      </c>
      <c r="F50" s="12" t="s">
        <v>73</v>
      </c>
      <c r="G50" s="4" t="s">
        <v>523</v>
      </c>
    </row>
    <row r="51" ht="22.5" customHeight="1">
      <c r="A51" s="4" t="s">
        <v>526</v>
      </c>
      <c r="B51" s="17" t="str">
        <f t="shared" si="1"/>
        <v>Kurpfalz</v>
      </c>
      <c r="C51" s="4" t="s">
        <v>528</v>
      </c>
      <c r="D51" s="9"/>
      <c r="E51" s="30"/>
      <c r="F51" s="12" t="s">
        <v>175</v>
      </c>
      <c r="G51" s="4" t="s">
        <v>532</v>
      </c>
    </row>
    <row r="52" ht="22.5" customHeight="1">
      <c r="A52" s="4" t="s">
        <v>535</v>
      </c>
      <c r="B52" s="17" t="str">
        <f t="shared" si="1"/>
        <v>Eglisau</v>
      </c>
      <c r="C52" s="4" t="s">
        <v>539</v>
      </c>
      <c r="D52" s="9"/>
      <c r="E52" s="8">
        <v>7285707.0</v>
      </c>
      <c r="F52" s="12" t="s">
        <v>120</v>
      </c>
      <c r="G52" s="4" t="s">
        <v>122</v>
      </c>
    </row>
    <row r="53" ht="22.5" customHeight="1">
      <c r="A53" s="4" t="s">
        <v>546</v>
      </c>
      <c r="B53" s="17" t="str">
        <f t="shared" si="1"/>
        <v>Altenklingen</v>
      </c>
      <c r="C53" s="4" t="s">
        <v>548</v>
      </c>
      <c r="D53" s="9"/>
      <c r="E53" s="8">
        <v>1.1571272E7</v>
      </c>
      <c r="F53" s="18"/>
      <c r="G53" s="4" t="s">
        <v>445</v>
      </c>
    </row>
    <row r="54" ht="22.5" customHeight="1">
      <c r="A54" s="4" t="s">
        <v>553</v>
      </c>
      <c r="B54" s="17" t="str">
        <f t="shared" si="1"/>
        <v>Altorff</v>
      </c>
      <c r="C54" s="4" t="s">
        <v>554</v>
      </c>
      <c r="D54" s="9"/>
      <c r="E54" s="9"/>
      <c r="F54" s="18"/>
      <c r="G54" s="4"/>
    </row>
    <row r="55" ht="22.5" customHeight="1">
      <c r="A55" s="4" t="s">
        <v>560</v>
      </c>
      <c r="B55" s="17" t="str">
        <f t="shared" si="1"/>
        <v>Glarus</v>
      </c>
      <c r="C55" s="4" t="s">
        <v>564</v>
      </c>
      <c r="D55" s="9"/>
      <c r="E55" s="8">
        <v>2660593.0</v>
      </c>
      <c r="F55" s="18"/>
      <c r="G55" s="4" t="s">
        <v>32</v>
      </c>
    </row>
    <row r="56" ht="22.5" customHeight="1">
      <c r="A56" s="4" t="s">
        <v>570</v>
      </c>
      <c r="B56" s="17" t="str">
        <f t="shared" si="1"/>
        <v>Reformierte Kirche Berg am Irchel</v>
      </c>
      <c r="C56" s="4" t="s">
        <v>572</v>
      </c>
      <c r="D56" s="8" t="s">
        <v>574</v>
      </c>
      <c r="E56" s="9"/>
      <c r="F56" s="18"/>
      <c r="G56" s="4"/>
    </row>
    <row r="57" ht="22.5" customHeight="1">
      <c r="A57" s="4" t="s">
        <v>580</v>
      </c>
      <c r="B57" s="17" t="str">
        <f t="shared" si="1"/>
        <v>Sodom</v>
      </c>
      <c r="C57" s="4" t="s">
        <v>581</v>
      </c>
      <c r="D57" s="9"/>
      <c r="E57" s="9"/>
      <c r="F57" s="12" t="s">
        <v>379</v>
      </c>
      <c r="G57" s="4" t="s">
        <v>583</v>
      </c>
    </row>
    <row r="58" ht="22.5" customHeight="1">
      <c r="A58" s="4" t="s">
        <v>588</v>
      </c>
      <c r="B58" s="17" t="str">
        <f t="shared" si="1"/>
        <v>Haus zur Sonnenblume</v>
      </c>
      <c r="C58" s="4" t="s">
        <v>590</v>
      </c>
      <c r="D58" s="9"/>
      <c r="E58" s="9"/>
      <c r="F58" s="18"/>
      <c r="G58" s="4"/>
    </row>
    <row r="59" ht="22.5" customHeight="1">
      <c r="A59" s="4" t="s">
        <v>595</v>
      </c>
      <c r="B59" s="17" t="str">
        <f t="shared" si="1"/>
        <v>Geissturm</v>
      </c>
      <c r="C59" s="4" t="s">
        <v>598</v>
      </c>
      <c r="D59" s="9"/>
      <c r="E59" s="30"/>
      <c r="F59" s="12" t="s">
        <v>601</v>
      </c>
      <c r="G59" s="4" t="s">
        <v>602</v>
      </c>
    </row>
    <row r="60" ht="22.5" customHeight="1">
      <c r="A60" s="4" t="s">
        <v>604</v>
      </c>
      <c r="B60" s="17" t="str">
        <f t="shared" si="1"/>
        <v>Konstantinopel</v>
      </c>
      <c r="C60" s="4" t="s">
        <v>605</v>
      </c>
      <c r="D60" s="8" t="s">
        <v>607</v>
      </c>
      <c r="E60" s="8">
        <v>745044.0</v>
      </c>
      <c r="F60" s="12" t="s">
        <v>31</v>
      </c>
      <c r="G60" s="4"/>
    </row>
    <row r="61" ht="22.5" customHeight="1">
      <c r="A61" s="4" t="s">
        <v>615</v>
      </c>
      <c r="B61" s="17" t="str">
        <f t="shared" si="1"/>
        <v>Stein am Rhein</v>
      </c>
      <c r="C61" s="4" t="s">
        <v>618</v>
      </c>
      <c r="D61" s="9"/>
      <c r="E61" s="8">
        <v>2658489.0</v>
      </c>
      <c r="F61" s="12" t="s">
        <v>31</v>
      </c>
      <c r="G61" s="4"/>
    </row>
    <row r="62" ht="22.5" customHeight="1">
      <c r="A62" s="4" t="s">
        <v>622</v>
      </c>
      <c r="B62" s="17" t="str">
        <f t="shared" si="1"/>
        <v>Marburg</v>
      </c>
      <c r="C62" s="4" t="s">
        <v>625</v>
      </c>
      <c r="D62" s="9"/>
      <c r="E62" s="8">
        <v>2873759.0</v>
      </c>
      <c r="F62" s="12" t="s">
        <v>31</v>
      </c>
      <c r="G62" s="4" t="s">
        <v>628</v>
      </c>
    </row>
    <row r="63" ht="22.5" customHeight="1">
      <c r="A63" s="4" t="s">
        <v>631</v>
      </c>
      <c r="B63" s="17" t="str">
        <f t="shared" si="1"/>
        <v>Elbląg</v>
      </c>
      <c r="C63" s="4" t="s">
        <v>635</v>
      </c>
      <c r="D63" s="8" t="s">
        <v>637</v>
      </c>
      <c r="E63" s="8">
        <v>3099759.0</v>
      </c>
      <c r="F63" s="12" t="s">
        <v>31</v>
      </c>
      <c r="G63" s="4" t="s">
        <v>640</v>
      </c>
    </row>
    <row r="64" ht="22.5" customHeight="1">
      <c r="A64" s="4" t="s">
        <v>645</v>
      </c>
      <c r="B64" s="17" t="str">
        <f t="shared" si="1"/>
        <v>Preussen</v>
      </c>
      <c r="C64" s="4" t="s">
        <v>646</v>
      </c>
      <c r="D64" s="9"/>
      <c r="E64" s="30"/>
      <c r="F64" s="12" t="s">
        <v>175</v>
      </c>
      <c r="G64" s="4" t="s">
        <v>648</v>
      </c>
    </row>
    <row r="65" ht="22.5" customHeight="1">
      <c r="A65" s="4" t="s">
        <v>652</v>
      </c>
      <c r="B65" s="17" t="str">
        <f t="shared" si="1"/>
        <v>Heilbäder Baden</v>
      </c>
      <c r="C65" s="4" t="s">
        <v>656</v>
      </c>
      <c r="D65" s="9"/>
      <c r="E65" s="9"/>
      <c r="F65" s="18"/>
      <c r="G65" s="4"/>
    </row>
    <row r="66" ht="22.5" customHeight="1">
      <c r="A66" s="4" t="s">
        <v>664</v>
      </c>
      <c r="B66" s="17" t="str">
        <f t="shared" si="1"/>
        <v>Bad Schinznach</v>
      </c>
      <c r="C66" s="4" t="s">
        <v>665</v>
      </c>
      <c r="D66" s="9"/>
      <c r="E66" s="9"/>
      <c r="F66" s="18"/>
      <c r="G66" s="4" t="s">
        <v>667</v>
      </c>
    </row>
    <row r="67" ht="22.5" customHeight="1">
      <c r="A67" s="4" t="s">
        <v>673</v>
      </c>
      <c r="B67" s="17" t="str">
        <f t="shared" si="1"/>
        <v>Girenbad</v>
      </c>
      <c r="C67" s="4" t="s">
        <v>675</v>
      </c>
      <c r="D67" s="8" t="s">
        <v>677</v>
      </c>
      <c r="E67" s="9"/>
      <c r="F67" s="18"/>
      <c r="G67" s="4" t="s">
        <v>682</v>
      </c>
    </row>
    <row r="68" ht="22.5" customHeight="1">
      <c r="A68" s="4" t="s">
        <v>683</v>
      </c>
      <c r="B68" s="17" t="str">
        <f t="shared" si="1"/>
        <v>Wängibad</v>
      </c>
      <c r="C68" s="4" t="s">
        <v>684</v>
      </c>
      <c r="D68" s="8" t="s">
        <v>685</v>
      </c>
      <c r="E68" s="9"/>
      <c r="F68" s="18"/>
      <c r="G68" s="16" t="s">
        <v>687</v>
      </c>
    </row>
    <row r="69" ht="22.5" customHeight="1">
      <c r="A69" s="4" t="s">
        <v>695</v>
      </c>
      <c r="B69" s="17" t="str">
        <f t="shared" si="1"/>
        <v>Aeugst am Albis</v>
      </c>
      <c r="C69" s="22" t="s">
        <v>405</v>
      </c>
      <c r="D69" s="33"/>
      <c r="E69" s="38"/>
      <c r="F69" s="39" t="s">
        <v>120</v>
      </c>
      <c r="G69" s="22" t="s">
        <v>699</v>
      </c>
    </row>
    <row r="70" ht="22.5" customHeight="1">
      <c r="A70" s="4" t="s">
        <v>704</v>
      </c>
      <c r="B70" s="17" t="str">
        <f t="shared" si="1"/>
        <v>Bassersdorf</v>
      </c>
      <c r="C70" s="4" t="s">
        <v>705</v>
      </c>
      <c r="D70" s="9"/>
      <c r="E70" s="8">
        <v>7285165.0</v>
      </c>
      <c r="F70" s="12" t="s">
        <v>120</v>
      </c>
      <c r="G70" s="4" t="s">
        <v>122</v>
      </c>
    </row>
    <row r="71" ht="22.5" customHeight="1">
      <c r="A71" s="4" t="s">
        <v>708</v>
      </c>
      <c r="B71" s="17" t="str">
        <f t="shared" si="1"/>
        <v>Hauptwil</v>
      </c>
      <c r="C71" s="4" t="s">
        <v>709</v>
      </c>
      <c r="D71" s="8" t="s">
        <v>711</v>
      </c>
      <c r="E71" s="8">
        <v>7286036.0</v>
      </c>
      <c r="F71" s="12" t="s">
        <v>120</v>
      </c>
      <c r="G71" s="4" t="s">
        <v>453</v>
      </c>
    </row>
    <row r="72" ht="22.5" customHeight="1">
      <c r="A72" s="4" t="s">
        <v>718</v>
      </c>
      <c r="B72" s="17" t="str">
        <f t="shared" si="1"/>
        <v>Schaffhausen</v>
      </c>
      <c r="C72" s="4" t="s">
        <v>719</v>
      </c>
      <c r="D72" s="9"/>
      <c r="E72" s="9"/>
      <c r="F72" s="18"/>
      <c r="G72" s="4"/>
    </row>
    <row r="73" ht="22.5" customHeight="1">
      <c r="A73" s="4" t="s">
        <v>723</v>
      </c>
      <c r="B73" s="17" t="str">
        <f t="shared" si="1"/>
        <v>Wädenswil</v>
      </c>
      <c r="C73" s="4" t="s">
        <v>725</v>
      </c>
      <c r="D73" s="9"/>
      <c r="E73" s="8">
        <v>7287513.0</v>
      </c>
      <c r="F73" s="12" t="s">
        <v>728</v>
      </c>
      <c r="G73" s="4"/>
    </row>
    <row r="74" ht="22.5" customHeight="1">
      <c r="A74" s="4" t="s">
        <v>733</v>
      </c>
      <c r="B74" s="17" t="str">
        <f t="shared" si="1"/>
        <v>Freiamt</v>
      </c>
      <c r="C74" s="4" t="s">
        <v>737</v>
      </c>
      <c r="D74" s="9"/>
      <c r="E74" s="30"/>
      <c r="F74" s="12" t="s">
        <v>728</v>
      </c>
      <c r="G74" s="4"/>
    </row>
    <row r="75" ht="22.5" customHeight="1">
      <c r="A75" s="4" t="s">
        <v>744</v>
      </c>
      <c r="B75" s="17" t="str">
        <f t="shared" si="1"/>
        <v>Grüningen</v>
      </c>
      <c r="C75" s="4" t="s">
        <v>746</v>
      </c>
      <c r="D75" s="9"/>
      <c r="E75" s="30"/>
      <c r="F75" s="12" t="s">
        <v>728</v>
      </c>
      <c r="G75" s="4"/>
    </row>
    <row r="76" ht="22.5" customHeight="1">
      <c r="A76" s="4" t="s">
        <v>751</v>
      </c>
      <c r="B76" s="17" t="str">
        <f t="shared" si="1"/>
        <v>Kefikon</v>
      </c>
      <c r="C76" s="4" t="s">
        <v>754</v>
      </c>
      <c r="D76" s="9"/>
      <c r="E76" s="8">
        <v>2660178.0</v>
      </c>
      <c r="F76" s="12" t="s">
        <v>120</v>
      </c>
      <c r="G76" s="4"/>
    </row>
    <row r="77" ht="22.5" customHeight="1">
      <c r="A77" s="4" t="s">
        <v>758</v>
      </c>
      <c r="B77" s="17" t="str">
        <f t="shared" si="1"/>
        <v>Maienfeld</v>
      </c>
      <c r="C77" s="4" t="s">
        <v>761</v>
      </c>
      <c r="D77" s="9"/>
      <c r="E77" s="8">
        <v>7286419.0</v>
      </c>
      <c r="F77" s="12" t="s">
        <v>728</v>
      </c>
      <c r="G77" s="4"/>
    </row>
    <row r="78" ht="22.5" customHeight="1">
      <c r="A78" s="4" t="s">
        <v>766</v>
      </c>
      <c r="B78" s="17" t="str">
        <f t="shared" si="1"/>
        <v>Schloss Greifensee</v>
      </c>
      <c r="C78" s="4" t="s">
        <v>768</v>
      </c>
      <c r="D78" s="9"/>
      <c r="E78" s="26" t="s">
        <v>770</v>
      </c>
      <c r="F78" s="12" t="s">
        <v>601</v>
      </c>
      <c r="G78" s="4"/>
    </row>
    <row r="79" ht="22.5" customHeight="1">
      <c r="A79" s="4" t="s">
        <v>775</v>
      </c>
      <c r="B79" s="17" t="str">
        <f t="shared" si="1"/>
        <v>Lindenhof (Zürich)</v>
      </c>
      <c r="C79" s="4" t="s">
        <v>777</v>
      </c>
      <c r="D79" s="9"/>
      <c r="E79" s="9"/>
      <c r="F79" s="18"/>
      <c r="G79" s="4" t="s">
        <v>781</v>
      </c>
    </row>
    <row r="80" ht="22.5" customHeight="1">
      <c r="A80" s="4" t="s">
        <v>783</v>
      </c>
      <c r="B80" s="17" t="str">
        <f t="shared" si="1"/>
        <v>Galg-Brunnen (Zürich)</v>
      </c>
      <c r="C80" s="22" t="s">
        <v>785</v>
      </c>
      <c r="D80" s="33"/>
      <c r="E80" s="33"/>
      <c r="F80" s="24"/>
      <c r="G80" s="22"/>
    </row>
    <row r="81" ht="22.5" customHeight="1">
      <c r="A81" s="4" t="s">
        <v>791</v>
      </c>
      <c r="B81" s="17" t="str">
        <f t="shared" si="1"/>
        <v>Kornhaus (Zürich)</v>
      </c>
      <c r="C81" s="4" t="s">
        <v>792</v>
      </c>
      <c r="D81" s="9"/>
      <c r="E81" s="30"/>
      <c r="F81" s="12" t="s">
        <v>601</v>
      </c>
      <c r="G81" s="4"/>
    </row>
    <row r="82" ht="22.5" customHeight="1">
      <c r="A82" s="4" t="s">
        <v>797</v>
      </c>
      <c r="B82" s="17" t="str">
        <f t="shared" si="1"/>
        <v>Sparrenberg (Zürich)</v>
      </c>
      <c r="C82" s="4" t="s">
        <v>800</v>
      </c>
      <c r="D82" s="9"/>
      <c r="E82" s="8">
        <v>6295386.0</v>
      </c>
      <c r="F82" s="12" t="s">
        <v>601</v>
      </c>
      <c r="G82" s="4"/>
    </row>
    <row r="83" ht="22.5" customHeight="1">
      <c r="A83" s="4" t="s">
        <v>804</v>
      </c>
      <c r="B83" s="17" t="str">
        <f t="shared" si="1"/>
        <v>Thurgau</v>
      </c>
      <c r="C83" s="4" t="s">
        <v>805</v>
      </c>
      <c r="D83" s="9"/>
      <c r="E83" s="8">
        <v>2658372.0</v>
      </c>
      <c r="F83" s="18"/>
      <c r="G83" s="4"/>
    </row>
    <row r="84" ht="22.5" customHeight="1">
      <c r="A84" s="4" t="s">
        <v>811</v>
      </c>
      <c r="B84" s="17" t="str">
        <f t="shared" si="1"/>
        <v>Niederlande</v>
      </c>
      <c r="C84" s="4" t="s">
        <v>812</v>
      </c>
      <c r="D84" s="9"/>
      <c r="E84" s="8">
        <v>2750405.0</v>
      </c>
      <c r="F84" s="12" t="s">
        <v>175</v>
      </c>
      <c r="G84" s="4"/>
    </row>
    <row r="85" ht="22.5" customHeight="1">
      <c r="A85" s="4" t="s">
        <v>817</v>
      </c>
      <c r="B85" s="17" t="str">
        <f t="shared" si="1"/>
        <v>Holland</v>
      </c>
      <c r="C85" s="4" t="s">
        <v>819</v>
      </c>
      <c r="D85" s="9"/>
      <c r="E85" s="30"/>
      <c r="F85" s="12" t="s">
        <v>175</v>
      </c>
      <c r="G85" s="4" t="s">
        <v>820</v>
      </c>
    </row>
    <row r="86" ht="22.5" customHeight="1">
      <c r="A86" s="4" t="s">
        <v>822</v>
      </c>
      <c r="B86" s="17" t="str">
        <f t="shared" si="1"/>
        <v>Wigoltingen</v>
      </c>
      <c r="C86" s="4" t="s">
        <v>824</v>
      </c>
      <c r="D86" s="9"/>
      <c r="E86" s="9"/>
      <c r="F86" s="18"/>
      <c r="G86" s="4"/>
    </row>
    <row r="87" ht="22.5" customHeight="1">
      <c r="A87" s="4" t="s">
        <v>828</v>
      </c>
      <c r="B87" s="17" t="str">
        <f t="shared" si="1"/>
        <v>Kastalische Quelle</v>
      </c>
      <c r="C87" s="4" t="s">
        <v>830</v>
      </c>
      <c r="D87" s="9"/>
      <c r="E87" s="30"/>
      <c r="F87" s="12" t="s">
        <v>73</v>
      </c>
      <c r="G87" s="4" t="s">
        <v>832</v>
      </c>
    </row>
    <row r="88" ht="22.5" customHeight="1">
      <c r="A88" s="4" t="s">
        <v>836</v>
      </c>
      <c r="B88" s="17" t="str">
        <f t="shared" si="1"/>
        <v>Lägern</v>
      </c>
      <c r="C88" s="4" t="s">
        <v>837</v>
      </c>
      <c r="D88" s="9"/>
      <c r="E88" s="8">
        <v>2660058.0</v>
      </c>
      <c r="F88" s="12" t="s">
        <v>199</v>
      </c>
      <c r="G88" s="4" t="s">
        <v>838</v>
      </c>
    </row>
    <row r="89" ht="22.5" customHeight="1">
      <c r="A89" s="4" t="s">
        <v>841</v>
      </c>
      <c r="B89" s="17" t="str">
        <f t="shared" si="1"/>
        <v>Texel</v>
      </c>
      <c r="C89" s="4" t="s">
        <v>843</v>
      </c>
      <c r="D89" s="9"/>
      <c r="E89" s="8">
        <v>2746385.0</v>
      </c>
      <c r="F89" s="18"/>
      <c r="G89" s="4" t="s">
        <v>845</v>
      </c>
    </row>
    <row r="90" ht="22.5" customHeight="1">
      <c r="A90" s="4" t="s">
        <v>847</v>
      </c>
      <c r="B90" s="17" t="str">
        <f t="shared" si="1"/>
        <v>Vlieland</v>
      </c>
      <c r="C90" s="4" t="s">
        <v>848</v>
      </c>
      <c r="D90" s="9"/>
      <c r="E90" s="8">
        <v>2745420.0</v>
      </c>
      <c r="F90" s="18"/>
      <c r="G90" s="4" t="s">
        <v>845</v>
      </c>
    </row>
    <row r="91" ht="22.5" customHeight="1">
      <c r="A91" s="4" t="s">
        <v>853</v>
      </c>
      <c r="B91" s="17" t="str">
        <f t="shared" si="1"/>
        <v>Indien</v>
      </c>
      <c r="C91" s="4" t="s">
        <v>854</v>
      </c>
      <c r="D91" s="9"/>
      <c r="E91" s="8">
        <v>1269750.0</v>
      </c>
      <c r="F91" s="12" t="s">
        <v>175</v>
      </c>
      <c r="G91" s="4"/>
    </row>
    <row r="92" ht="22.5" customHeight="1">
      <c r="A92" s="4" t="s">
        <v>855</v>
      </c>
      <c r="B92" s="17" t="str">
        <f t="shared" si="1"/>
        <v>Wien</v>
      </c>
      <c r="C92" s="4" t="s">
        <v>857</v>
      </c>
      <c r="D92" s="9"/>
      <c r="E92" s="8">
        <v>2761369.0</v>
      </c>
      <c r="F92" s="12" t="s">
        <v>31</v>
      </c>
      <c r="G92" s="4"/>
    </row>
    <row r="93" ht="22.5" customHeight="1">
      <c r="A93" s="4" t="s">
        <v>862</v>
      </c>
      <c r="B93" s="17" t="str">
        <f t="shared" si="1"/>
        <v>Deutschland</v>
      </c>
      <c r="C93" s="4" t="s">
        <v>863</v>
      </c>
      <c r="D93" s="9"/>
      <c r="E93" s="8">
        <v>2921044.0</v>
      </c>
      <c r="F93" s="12" t="s">
        <v>175</v>
      </c>
      <c r="G93" s="4"/>
    </row>
    <row r="94" ht="22.5" customHeight="1">
      <c r="A94" s="4" t="s">
        <v>869</v>
      </c>
      <c r="B94" s="17" t="str">
        <f t="shared" si="1"/>
        <v>Ölberg</v>
      </c>
      <c r="C94" s="15" t="s">
        <v>870</v>
      </c>
      <c r="D94" s="9"/>
      <c r="E94" s="8">
        <v>281573.0</v>
      </c>
      <c r="F94" s="12" t="s">
        <v>199</v>
      </c>
      <c r="G94" s="4"/>
    </row>
    <row r="95" ht="22.5" customHeight="1">
      <c r="A95" s="4" t="s">
        <v>873</v>
      </c>
      <c r="B95" s="17" t="str">
        <f t="shared" si="1"/>
        <v>Dietikon</v>
      </c>
      <c r="C95" s="4" t="s">
        <v>875</v>
      </c>
      <c r="D95" s="9"/>
      <c r="E95" s="8">
        <v>7285652.0</v>
      </c>
      <c r="F95" s="12" t="s">
        <v>120</v>
      </c>
      <c r="G95" s="4" t="s">
        <v>122</v>
      </c>
    </row>
    <row r="96" ht="22.5" customHeight="1">
      <c r="A96" s="4" t="s">
        <v>878</v>
      </c>
      <c r="B96" s="17" t="str">
        <f t="shared" si="1"/>
        <v>Winterthur</v>
      </c>
      <c r="C96" s="4" t="s">
        <v>880</v>
      </c>
      <c r="D96" s="9"/>
      <c r="E96" s="8">
        <v>2657970.0</v>
      </c>
      <c r="F96" s="12" t="s">
        <v>31</v>
      </c>
      <c r="G96" s="4"/>
    </row>
    <row r="97" ht="22.5" customHeight="1">
      <c r="A97" s="4" t="s">
        <v>885</v>
      </c>
      <c r="B97" s="17" t="str">
        <f t="shared" si="1"/>
        <v>Pfalz</v>
      </c>
      <c r="C97" s="4" t="s">
        <v>886</v>
      </c>
      <c r="D97" s="9"/>
      <c r="E97" s="30"/>
      <c r="F97" s="12" t="s">
        <v>235</v>
      </c>
      <c r="G97" s="4"/>
    </row>
    <row r="98" ht="22.5" customHeight="1">
      <c r="A98" s="4" t="s">
        <v>889</v>
      </c>
      <c r="B98" s="17" t="str">
        <f t="shared" si="1"/>
        <v>Edenkoben</v>
      </c>
      <c r="C98" s="4" t="s">
        <v>892</v>
      </c>
      <c r="D98" s="9"/>
      <c r="E98" s="8">
        <v>2933410.0</v>
      </c>
      <c r="F98" s="12" t="s">
        <v>31</v>
      </c>
      <c r="G98" s="4" t="s">
        <v>894</v>
      </c>
    </row>
    <row r="99" ht="22.5" customHeight="1">
      <c r="A99" s="4" t="s">
        <v>896</v>
      </c>
      <c r="B99" s="17" t="str">
        <f t="shared" si="1"/>
        <v>Wüste Juda</v>
      </c>
      <c r="C99" s="4" t="s">
        <v>897</v>
      </c>
      <c r="D99" s="8" t="s">
        <v>900</v>
      </c>
      <c r="E99" s="30"/>
      <c r="F99" s="12" t="s">
        <v>235</v>
      </c>
      <c r="G99" s="4" t="s">
        <v>902</v>
      </c>
    </row>
    <row r="100" ht="22.5" customHeight="1">
      <c r="A100" s="4" t="s">
        <v>905</v>
      </c>
      <c r="B100" s="17" t="str">
        <f t="shared" si="1"/>
        <v>Greifensee</v>
      </c>
      <c r="C100" s="4" t="s">
        <v>906</v>
      </c>
      <c r="D100" s="9"/>
      <c r="E100" s="8">
        <v>7285971.0</v>
      </c>
      <c r="F100" s="12" t="s">
        <v>728</v>
      </c>
      <c r="G100" s="4"/>
    </row>
    <row r="101" ht="22.5" customHeight="1">
      <c r="A101" s="4" t="s">
        <v>914</v>
      </c>
      <c r="B101" s="17" t="str">
        <f t="shared" si="1"/>
        <v>Lichtensteig</v>
      </c>
      <c r="C101" s="4" t="s">
        <v>916</v>
      </c>
      <c r="D101" s="9"/>
      <c r="E101" s="8">
        <v>7286345.0</v>
      </c>
      <c r="F101" s="12" t="s">
        <v>120</v>
      </c>
      <c r="G101" s="4" t="s">
        <v>918</v>
      </c>
    </row>
    <row r="102" ht="22.5" customHeight="1">
      <c r="A102" s="4" t="s">
        <v>921</v>
      </c>
      <c r="B102" s="17" t="str">
        <f t="shared" si="1"/>
        <v>Golgotha</v>
      </c>
      <c r="C102" s="4" t="s">
        <v>923</v>
      </c>
      <c r="D102" s="8" t="s">
        <v>924</v>
      </c>
      <c r="E102" s="9"/>
      <c r="F102" s="12" t="s">
        <v>379</v>
      </c>
      <c r="G102" s="4" t="s">
        <v>927</v>
      </c>
    </row>
    <row r="103" ht="22.5" customHeight="1">
      <c r="A103" s="4" t="s">
        <v>930</v>
      </c>
      <c r="B103" s="17" t="str">
        <f t="shared" si="1"/>
        <v>Heidelberg</v>
      </c>
      <c r="C103" s="4" t="s">
        <v>932</v>
      </c>
      <c r="D103" s="9"/>
      <c r="E103" s="8">
        <v>2907911.0</v>
      </c>
      <c r="F103" s="12" t="s">
        <v>31</v>
      </c>
      <c r="G103" s="4"/>
    </row>
    <row r="104" ht="22.5" customHeight="1">
      <c r="A104" s="4" t="s">
        <v>939</v>
      </c>
      <c r="B104" s="17" t="str">
        <f t="shared" si="1"/>
        <v>Lindenhofbrunnen</v>
      </c>
      <c r="C104" s="4" t="s">
        <v>941</v>
      </c>
      <c r="D104" s="9"/>
      <c r="E104" s="30"/>
      <c r="F104" s="12" t="s">
        <v>601</v>
      </c>
      <c r="G104" s="4"/>
    </row>
    <row r="105" ht="22.5" customHeight="1">
      <c r="A105" s="4" t="s">
        <v>946</v>
      </c>
      <c r="B105" s="17" t="str">
        <f t="shared" si="1"/>
        <v>Osmanisches Reich</v>
      </c>
      <c r="C105" s="4" t="s">
        <v>947</v>
      </c>
      <c r="D105" s="9"/>
      <c r="E105" s="30"/>
      <c r="F105" s="12" t="s">
        <v>175</v>
      </c>
      <c r="G105" s="4"/>
    </row>
    <row r="106" ht="22.5" customHeight="1">
      <c r="A106" s="4" t="s">
        <v>952</v>
      </c>
      <c r="B106" s="17" t="str">
        <f t="shared" si="1"/>
        <v>Frauenfeld</v>
      </c>
      <c r="C106" s="4" t="s">
        <v>954</v>
      </c>
      <c r="D106" s="9"/>
      <c r="E106" s="8">
        <v>2660727.0</v>
      </c>
      <c r="F106" s="12" t="s">
        <v>31</v>
      </c>
      <c r="G106" s="4"/>
    </row>
    <row r="107" ht="22.5" customHeight="1">
      <c r="A107" s="4" t="s">
        <v>959</v>
      </c>
      <c r="B107" s="17" t="str">
        <f t="shared" si="1"/>
        <v>Regensdorf</v>
      </c>
      <c r="C107" s="4" t="s">
        <v>961</v>
      </c>
      <c r="D107" s="9"/>
      <c r="E107" s="8">
        <v>7286870.0</v>
      </c>
      <c r="F107" s="12" t="s">
        <v>120</v>
      </c>
      <c r="G107" s="4" t="s">
        <v>122</v>
      </c>
    </row>
    <row r="108" ht="22.5" customHeight="1">
      <c r="A108" s="4" t="s">
        <v>967</v>
      </c>
      <c r="B108" s="17" t="str">
        <f t="shared" si="1"/>
        <v>Leiden</v>
      </c>
      <c r="C108" s="4" t="s">
        <v>969</v>
      </c>
      <c r="D108" s="9"/>
      <c r="E108" s="8">
        <v>2751773.0</v>
      </c>
      <c r="F108" s="12" t="s">
        <v>31</v>
      </c>
      <c r="G108" s="4"/>
    </row>
    <row r="109" ht="22.5" customHeight="1">
      <c r="A109" s="4" t="s">
        <v>975</v>
      </c>
      <c r="B109" s="17" t="str">
        <f t="shared" si="1"/>
        <v>Margareten</v>
      </c>
      <c r="C109" s="4" t="s">
        <v>979</v>
      </c>
      <c r="D109" s="9"/>
      <c r="E109" s="8">
        <v>1.221407E7</v>
      </c>
      <c r="F109" s="18"/>
      <c r="G109" s="4" t="s">
        <v>980</v>
      </c>
    </row>
    <row r="110" ht="22.5" customHeight="1">
      <c r="A110" s="4" t="s">
        <v>984</v>
      </c>
      <c r="B110" s="17" t="str">
        <f t="shared" si="1"/>
        <v>Wien</v>
      </c>
      <c r="C110" s="4" t="s">
        <v>857</v>
      </c>
      <c r="D110" s="9"/>
      <c r="E110" s="8">
        <v>2761368.0</v>
      </c>
      <c r="F110" s="12" t="s">
        <v>73</v>
      </c>
      <c r="G110" s="4"/>
    </row>
    <row r="111" ht="22.5" customHeight="1">
      <c r="A111" s="4" t="s">
        <v>991</v>
      </c>
      <c r="B111" s="17" t="str">
        <f t="shared" si="1"/>
        <v/>
      </c>
      <c r="C111" s="4"/>
      <c r="D111" s="9"/>
      <c r="E111" s="9"/>
      <c r="F111" s="18"/>
      <c r="G111" s="4"/>
    </row>
    <row r="112" ht="22.5" customHeight="1">
      <c r="A112" s="4" t="s">
        <v>997</v>
      </c>
      <c r="B112" s="17" t="str">
        <f t="shared" si="1"/>
        <v/>
      </c>
      <c r="C112" s="4"/>
      <c r="D112" s="9"/>
      <c r="E112" s="9"/>
      <c r="F112" s="18"/>
      <c r="G112" s="4"/>
    </row>
    <row r="113" ht="22.5" customHeight="1">
      <c r="A113" s="4" t="s">
        <v>1004</v>
      </c>
      <c r="B113" s="17" t="str">
        <f t="shared" si="1"/>
        <v/>
      </c>
      <c r="C113" s="4"/>
      <c r="D113" s="9"/>
      <c r="E113" s="9"/>
      <c r="F113" s="18"/>
      <c r="G113" s="4"/>
    </row>
    <row r="114" ht="22.5" customHeight="1">
      <c r="A114" s="4" t="s">
        <v>1011</v>
      </c>
      <c r="B114" s="17" t="str">
        <f t="shared" si="1"/>
        <v/>
      </c>
      <c r="C114" s="4"/>
      <c r="D114" s="9"/>
      <c r="E114" s="9"/>
      <c r="F114" s="18"/>
      <c r="G114" s="4"/>
    </row>
    <row r="115" ht="22.5" customHeight="1">
      <c r="A115" s="4" t="s">
        <v>1019</v>
      </c>
      <c r="B115" s="17" t="str">
        <f t="shared" si="1"/>
        <v/>
      </c>
      <c r="C115" s="4"/>
      <c r="D115" s="9"/>
      <c r="E115" s="9"/>
      <c r="F115" s="18"/>
      <c r="G115" s="4"/>
    </row>
    <row r="116" ht="22.5" customHeight="1">
      <c r="A116" s="4" t="s">
        <v>1025</v>
      </c>
      <c r="B116" s="17" t="str">
        <f t="shared" si="1"/>
        <v/>
      </c>
      <c r="C116" s="4"/>
      <c r="D116" s="9"/>
      <c r="E116" s="9"/>
      <c r="F116" s="18"/>
      <c r="G116" s="4"/>
    </row>
    <row r="117" ht="22.5" customHeight="1">
      <c r="A117" s="4" t="s">
        <v>1033</v>
      </c>
      <c r="B117" s="17" t="str">
        <f t="shared" si="1"/>
        <v/>
      </c>
      <c r="C117" s="4"/>
      <c r="D117" s="9"/>
      <c r="E117" s="9"/>
      <c r="F117" s="18"/>
      <c r="G117" s="4"/>
    </row>
    <row r="118" ht="22.5" customHeight="1">
      <c r="A118" s="4" t="s">
        <v>1040</v>
      </c>
      <c r="B118" s="17" t="str">
        <f t="shared" si="1"/>
        <v/>
      </c>
      <c r="C118" s="4"/>
      <c r="D118" s="9"/>
      <c r="E118" s="9"/>
      <c r="F118" s="18"/>
      <c r="G118" s="4"/>
    </row>
    <row r="119" ht="22.5" customHeight="1">
      <c r="A119" s="4" t="s">
        <v>1046</v>
      </c>
      <c r="B119" s="17" t="str">
        <f t="shared" si="1"/>
        <v/>
      </c>
      <c r="C119" s="4"/>
      <c r="D119" s="9"/>
      <c r="E119" s="9"/>
      <c r="F119" s="18"/>
      <c r="G119" s="4"/>
    </row>
    <row r="120" ht="22.5" customHeight="1">
      <c r="A120" s="4" t="s">
        <v>1052</v>
      </c>
      <c r="B120" s="17" t="str">
        <f t="shared" si="1"/>
        <v/>
      </c>
      <c r="C120" s="4"/>
      <c r="D120" s="9"/>
      <c r="E120" s="9"/>
      <c r="F120" s="18"/>
      <c r="G120" s="4"/>
    </row>
    <row r="121" ht="22.5" customHeight="1">
      <c r="A121" s="4" t="s">
        <v>1058</v>
      </c>
      <c r="B121" s="17" t="str">
        <f t="shared" si="1"/>
        <v/>
      </c>
      <c r="C121" s="4"/>
      <c r="D121" s="9"/>
      <c r="E121" s="9"/>
      <c r="F121" s="18"/>
      <c r="G121" s="4"/>
    </row>
    <row r="122" ht="22.5" customHeight="1">
      <c r="A122" s="4" t="s">
        <v>1063</v>
      </c>
      <c r="B122" s="17" t="str">
        <f t="shared" si="1"/>
        <v/>
      </c>
      <c r="C122" s="4"/>
      <c r="D122" s="9"/>
      <c r="E122" s="9"/>
      <c r="F122" s="18"/>
      <c r="G122" s="4"/>
    </row>
    <row r="123" ht="22.5" customHeight="1">
      <c r="A123" s="4" t="s">
        <v>1067</v>
      </c>
      <c r="B123" s="17" t="str">
        <f t="shared" si="1"/>
        <v/>
      </c>
      <c r="C123" s="4"/>
      <c r="D123" s="9"/>
      <c r="E123" s="9"/>
      <c r="F123" s="18"/>
      <c r="G123" s="4"/>
    </row>
    <row r="124" ht="22.5" customHeight="1">
      <c r="A124" s="4" t="s">
        <v>1074</v>
      </c>
      <c r="B124" s="17" t="str">
        <f t="shared" si="1"/>
        <v/>
      </c>
      <c r="C124" s="4"/>
      <c r="D124" s="9"/>
      <c r="E124" s="9"/>
      <c r="F124" s="18"/>
      <c r="G124" s="4"/>
    </row>
    <row r="125" ht="22.5" customHeight="1">
      <c r="A125" s="4" t="s">
        <v>1080</v>
      </c>
      <c r="B125" s="17" t="str">
        <f t="shared" si="1"/>
        <v/>
      </c>
      <c r="C125" s="4"/>
      <c r="D125" s="9"/>
      <c r="E125" s="9"/>
      <c r="F125" s="18"/>
      <c r="G125" s="4"/>
    </row>
    <row r="126" ht="22.5" customHeight="1">
      <c r="A126" s="4" t="s">
        <v>1089</v>
      </c>
      <c r="B126" s="17" t="str">
        <f t="shared" si="1"/>
        <v/>
      </c>
      <c r="C126" s="4"/>
      <c r="D126" s="9"/>
      <c r="E126" s="9"/>
      <c r="F126" s="18"/>
      <c r="G126" s="4"/>
    </row>
    <row r="127" ht="22.5" customHeight="1">
      <c r="A127" s="4" t="s">
        <v>1093</v>
      </c>
      <c r="B127" s="17" t="str">
        <f t="shared" si="1"/>
        <v/>
      </c>
      <c r="C127" s="4"/>
      <c r="D127" s="9"/>
      <c r="E127" s="9"/>
      <c r="F127" s="18"/>
      <c r="G127" s="4"/>
    </row>
    <row r="128" ht="22.5" customHeight="1">
      <c r="A128" s="4" t="s">
        <v>1099</v>
      </c>
      <c r="B128" s="17" t="str">
        <f t="shared" si="1"/>
        <v/>
      </c>
      <c r="C128" s="4"/>
      <c r="D128" s="9"/>
      <c r="E128" s="9"/>
      <c r="F128" s="18"/>
      <c r="G128" s="4"/>
    </row>
    <row r="129" ht="22.5" customHeight="1">
      <c r="A129" s="4" t="s">
        <v>1105</v>
      </c>
      <c r="B129" s="17" t="str">
        <f t="shared" si="1"/>
        <v/>
      </c>
      <c r="C129" s="4"/>
      <c r="D129" s="9"/>
      <c r="E129" s="9"/>
      <c r="F129" s="18"/>
      <c r="G129" s="4"/>
    </row>
    <row r="130" ht="22.5" customHeight="1">
      <c r="A130" s="4" t="s">
        <v>1111</v>
      </c>
      <c r="B130" s="17" t="str">
        <f t="shared" si="1"/>
        <v/>
      </c>
      <c r="C130" s="4"/>
      <c r="D130" s="9"/>
      <c r="E130" s="9"/>
      <c r="F130" s="18"/>
      <c r="G130" s="4"/>
    </row>
    <row r="131" ht="22.5" customHeight="1">
      <c r="A131" s="4" t="s">
        <v>1119</v>
      </c>
      <c r="B131" s="17" t="str">
        <f t="shared" si="1"/>
        <v/>
      </c>
      <c r="C131" s="4"/>
      <c r="D131" s="9"/>
      <c r="E131" s="9"/>
      <c r="F131" s="18"/>
      <c r="G131" s="4"/>
    </row>
    <row r="132" ht="22.5" customHeight="1">
      <c r="A132" s="4" t="s">
        <v>1130</v>
      </c>
      <c r="B132" s="17" t="str">
        <f t="shared" si="1"/>
        <v/>
      </c>
      <c r="C132" s="4"/>
      <c r="D132" s="9"/>
      <c r="E132" s="9"/>
      <c r="F132" s="18"/>
      <c r="G132" s="4"/>
    </row>
  </sheetData>
  <conditionalFormatting sqref="B1:B132">
    <cfRule type="expression" dxfId="9" priority="1">
      <formula>AND(B1&lt;&gt;"",COUNTIF(B:B,B1)&gt;1)</formula>
    </cfRule>
  </conditionalFormatting>
  <dataValidations>
    <dataValidation type="list" allowBlank="1" sqref="F2:F132">
      <formula1>"Stadt,Gewässer,Berg,Land,Politische Gemeinde,Region,Landvogtei,Bauwerk,Biblischer Ort,Kontinent"</formula1>
    </dataValidation>
    <dataValidation allowBlank="1" showDropDown="1" sqref="A2:A132 C2:C132 G2:G132"/>
  </dataValidations>
  <hyperlinks>
    <hyperlink r:id="rId1" ref="G68"/>
  </hyperlinks>
  <drawing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2" max="2" width="49.75"/>
    <col customWidth="1" min="3" max="3" width="46.38"/>
    <col customWidth="1" min="4" max="4" width="32.13"/>
    <col customWidth="1" min="5" max="5" width="11.75"/>
    <col customWidth="1" min="6" max="6" width="12.88"/>
    <col customWidth="1" min="7" max="7" width="23.25"/>
    <col customWidth="1" min="8" max="8" width="15.13"/>
    <col customWidth="1" min="9" max="9" width="20.13"/>
  </cols>
  <sheetData>
    <row r="1" ht="22.5" customHeight="1">
      <c r="A1" s="1" t="s">
        <v>3</v>
      </c>
      <c r="B1" s="2" t="s">
        <v>4</v>
      </c>
      <c r="C1" s="1" t="s">
        <v>7</v>
      </c>
      <c r="D1" s="1" t="s">
        <v>10</v>
      </c>
      <c r="E1" s="1" t="s">
        <v>14</v>
      </c>
      <c r="F1" s="1" t="s">
        <v>19</v>
      </c>
      <c r="G1" s="1" t="s">
        <v>22</v>
      </c>
      <c r="H1" s="1" t="s">
        <v>18</v>
      </c>
      <c r="I1" s="1" t="s">
        <v>16</v>
      </c>
    </row>
    <row r="2" ht="22.5" customHeight="1">
      <c r="A2" s="4" t="s">
        <v>26</v>
      </c>
      <c r="B2" s="5" t="str">
        <f t="shared" ref="B2:B40" si="1">CONCATENATE(C2)</f>
        <v>Teutsche Gedichte</v>
      </c>
      <c r="C2" s="4" t="s">
        <v>30</v>
      </c>
      <c r="D2" s="8" t="s">
        <v>33</v>
      </c>
      <c r="E2" s="4" t="s">
        <v>34</v>
      </c>
      <c r="F2" s="8" t="s">
        <v>28</v>
      </c>
      <c r="G2" s="4" t="s">
        <v>37</v>
      </c>
      <c r="H2" s="12" t="s">
        <v>39</v>
      </c>
      <c r="I2" s="13"/>
    </row>
    <row r="3" ht="22.5" customHeight="1">
      <c r="A3" s="4" t="s">
        <v>51</v>
      </c>
      <c r="B3" s="5" t="str">
        <f t="shared" si="1"/>
        <v>Die Krafft der Gottseligkeit</v>
      </c>
      <c r="C3" s="15" t="s">
        <v>57</v>
      </c>
      <c r="D3" s="8" t="s">
        <v>59</v>
      </c>
      <c r="E3" s="4" t="s">
        <v>61</v>
      </c>
      <c r="F3" s="8" t="s">
        <v>28</v>
      </c>
      <c r="G3" s="4" t="s">
        <v>68</v>
      </c>
      <c r="H3" s="12" t="s">
        <v>71</v>
      </c>
      <c r="I3" s="21" t="s">
        <v>74</v>
      </c>
    </row>
    <row r="4" ht="22.5" customHeight="1">
      <c r="A4" s="4" t="s">
        <v>99</v>
      </c>
      <c r="B4" s="5" t="str">
        <f t="shared" si="1"/>
        <v>Archetypi homiliarum in quatuor evangelia dn. nostri Iesu Christi</v>
      </c>
      <c r="C4" s="4" t="s">
        <v>103</v>
      </c>
      <c r="D4" s="8" t="s">
        <v>106</v>
      </c>
      <c r="E4" s="4" t="s">
        <v>109</v>
      </c>
      <c r="F4" s="8" t="s">
        <v>28</v>
      </c>
      <c r="G4" s="4" t="s">
        <v>115</v>
      </c>
      <c r="H4" s="18"/>
      <c r="I4" s="16" t="s">
        <v>123</v>
      </c>
    </row>
    <row r="5" ht="22.5" customHeight="1">
      <c r="A5" s="4" t="s">
        <v>139</v>
      </c>
      <c r="B5" s="5" t="str">
        <f t="shared" si="1"/>
        <v>Der Psalter dess Königlichen Propheten Dauids/ Jn deutsche reymen verstendiglich vnd deutlich gebracht/ mit vorgehender anzeigung der reymen weise/ auch eines jeden Psalmes Jnhalt</v>
      </c>
      <c r="C5" s="4" t="s">
        <v>142</v>
      </c>
      <c r="D5" s="8" t="s">
        <v>143</v>
      </c>
      <c r="E5" s="4" t="s">
        <v>146</v>
      </c>
      <c r="F5" s="8" t="s">
        <v>150</v>
      </c>
      <c r="G5" s="13"/>
      <c r="H5" s="18"/>
      <c r="I5" s="13"/>
    </row>
    <row r="6" ht="22.5" customHeight="1">
      <c r="A6" s="4" t="s">
        <v>168</v>
      </c>
      <c r="B6" s="5" t="str">
        <f t="shared" si="1"/>
        <v>Hundert christliche Fäst-Predigen</v>
      </c>
      <c r="C6" s="4" t="s">
        <v>173</v>
      </c>
      <c r="D6" s="8" t="s">
        <v>174</v>
      </c>
      <c r="E6" s="4" t="s">
        <v>177</v>
      </c>
      <c r="F6" s="8" t="s">
        <v>28</v>
      </c>
      <c r="G6" s="4" t="s">
        <v>179</v>
      </c>
      <c r="H6" s="18"/>
      <c r="I6" s="28" t="s">
        <v>185</v>
      </c>
    </row>
    <row r="7" ht="22.5" customHeight="1">
      <c r="A7" s="4" t="s">
        <v>203</v>
      </c>
      <c r="B7" s="5" t="str">
        <f t="shared" si="1"/>
        <v>Spiegel der Unermesslichen Gnad Gottes gegen den rewenden bussfertigen Sünderen/ Jn XLV. Predigen vber das XV. capitel Lucae/ vom verlohrnen Schaaf/ Pfenning/ vnd Sohn verfasset</v>
      </c>
      <c r="C7" s="4" t="s">
        <v>213</v>
      </c>
      <c r="D7" s="8" t="s">
        <v>215</v>
      </c>
      <c r="E7" s="4" t="s">
        <v>216</v>
      </c>
      <c r="F7" s="8" t="s">
        <v>45</v>
      </c>
      <c r="G7" s="4" t="s">
        <v>220</v>
      </c>
      <c r="H7" s="18"/>
      <c r="I7" s="28" t="s">
        <v>225</v>
      </c>
    </row>
    <row r="8" ht="22.5" customHeight="1">
      <c r="A8" s="4" t="s">
        <v>238</v>
      </c>
      <c r="B8" s="5" t="str">
        <f t="shared" si="1"/>
        <v>Ruh und Fridensübung</v>
      </c>
      <c r="C8" s="15" t="s">
        <v>247</v>
      </c>
      <c r="D8" s="8" t="s">
        <v>250</v>
      </c>
      <c r="E8" s="4" t="s">
        <v>251</v>
      </c>
      <c r="F8" s="8" t="s">
        <v>28</v>
      </c>
      <c r="G8" s="4" t="s">
        <v>255</v>
      </c>
      <c r="H8" s="18"/>
      <c r="I8" s="16" t="s">
        <v>265</v>
      </c>
    </row>
    <row r="9" ht="22.5" customHeight="1">
      <c r="A9" s="4" t="s">
        <v>280</v>
      </c>
      <c r="B9" s="5" t="str">
        <f t="shared" si="1"/>
        <v>Nähefelser-Fahrt: in zehen erbaulichen Jahrzeit-Predigen zu schuldigem Danck dem Höhesten für den im Jahr 1388 gemeinen Landleuthen dess lobl. Eydgnössischen Bundorths Glarus wider ihre Feind bey und umb Nähefels verliehenen Wundersieg </v>
      </c>
      <c r="C9" s="4" t="s">
        <v>285</v>
      </c>
      <c r="D9" s="8" t="s">
        <v>286</v>
      </c>
      <c r="E9" s="4" t="s">
        <v>289</v>
      </c>
      <c r="F9" s="8" t="s">
        <v>28</v>
      </c>
      <c r="G9" s="4" t="s">
        <v>292</v>
      </c>
      <c r="H9" s="18"/>
      <c r="I9" s="16" t="s">
        <v>296</v>
      </c>
    </row>
    <row r="10" ht="22.5" customHeight="1">
      <c r="A10" s="4" t="s">
        <v>308</v>
      </c>
      <c r="B10" s="5" t="str">
        <f t="shared" si="1"/>
        <v>Die vier Haubtpuncten der christlichen seligmachenden Religion: auf alle Sontag des gantzen Jahrs ordenlich abgetheilt, grundtlich nach der heiligen Schrifft erklärt und zur Erbawung gerichtet </v>
      </c>
      <c r="C10" s="4" t="s">
        <v>311</v>
      </c>
      <c r="D10" s="8" t="s">
        <v>313</v>
      </c>
      <c r="E10" s="4" t="s">
        <v>316</v>
      </c>
      <c r="F10" s="8" t="s">
        <v>28</v>
      </c>
      <c r="G10" s="4" t="s">
        <v>319</v>
      </c>
      <c r="H10" s="18"/>
      <c r="I10" s="28" t="s">
        <v>323</v>
      </c>
    </row>
    <row r="11" ht="22.5" customHeight="1">
      <c r="A11" s="4" t="s">
        <v>335</v>
      </c>
      <c r="B11" s="5" t="str">
        <f t="shared" si="1"/>
        <v>Architectura von Vestungen</v>
      </c>
      <c r="C11" s="4" t="s">
        <v>341</v>
      </c>
      <c r="D11" s="8" t="s">
        <v>343</v>
      </c>
      <c r="E11" s="4" t="s">
        <v>61</v>
      </c>
      <c r="F11" s="8" t="s">
        <v>28</v>
      </c>
      <c r="G11" s="4" t="s">
        <v>347</v>
      </c>
      <c r="H11" s="18"/>
      <c r="I11" s="21" t="s">
        <v>351</v>
      </c>
    </row>
    <row r="12" ht="22.5" customHeight="1">
      <c r="A12" s="4" t="s">
        <v>364</v>
      </c>
      <c r="B12" s="5" t="str">
        <f t="shared" si="1"/>
        <v>Buech der Freunden Stammen</v>
      </c>
      <c r="C12" s="22" t="s">
        <v>368</v>
      </c>
      <c r="D12" s="33"/>
      <c r="E12" s="34"/>
      <c r="F12" s="33"/>
      <c r="G12" s="34"/>
      <c r="H12" s="24"/>
      <c r="I12" s="34"/>
    </row>
    <row r="13" ht="22.5" customHeight="1">
      <c r="A13" s="4" t="s">
        <v>386</v>
      </c>
      <c r="B13" s="5" t="str">
        <f t="shared" si="1"/>
        <v>Christen-Spiegel, das ist, Bedenkliche Erinnerungen über die Beruoffspflichten aller Ständen </v>
      </c>
      <c r="C13" s="4" t="s">
        <v>391</v>
      </c>
      <c r="D13" s="8" t="s">
        <v>394</v>
      </c>
      <c r="E13" s="4" t="s">
        <v>397</v>
      </c>
      <c r="F13" s="8" t="s">
        <v>28</v>
      </c>
      <c r="G13" s="4" t="s">
        <v>398</v>
      </c>
      <c r="H13" s="18"/>
      <c r="I13" s="28" t="s">
        <v>401</v>
      </c>
    </row>
    <row r="14" ht="22.5" customHeight="1">
      <c r="A14" s="4" t="s">
        <v>410</v>
      </c>
      <c r="B14" s="5" t="str">
        <f t="shared" si="1"/>
        <v>Viergeticht</v>
      </c>
      <c r="C14" s="22" t="s">
        <v>413</v>
      </c>
      <c r="D14" s="33"/>
      <c r="E14" s="34"/>
      <c r="F14" s="33"/>
      <c r="G14" s="34"/>
      <c r="H14" s="24"/>
      <c r="I14" s="34"/>
    </row>
    <row r="15" ht="22.5" customHeight="1">
      <c r="A15" s="4" t="s">
        <v>436</v>
      </c>
      <c r="B15" s="5" t="str">
        <f t="shared" si="1"/>
        <v>Regentenspiegel</v>
      </c>
      <c r="C15" s="22" t="s">
        <v>438</v>
      </c>
      <c r="D15" s="33"/>
      <c r="E15" s="34"/>
      <c r="F15" s="33"/>
      <c r="G15" s="34"/>
      <c r="H15" s="24"/>
      <c r="I15" s="34"/>
    </row>
    <row r="16" ht="22.5" customHeight="1">
      <c r="A16" s="4" t="s">
        <v>455</v>
      </c>
      <c r="B16" s="5" t="str">
        <f t="shared" si="1"/>
        <v>Türckischer Jammerspiegel</v>
      </c>
      <c r="C16" s="22" t="s">
        <v>463</v>
      </c>
      <c r="D16" s="33"/>
      <c r="E16" s="22" t="s">
        <v>466</v>
      </c>
      <c r="F16" s="33"/>
      <c r="G16" s="34"/>
      <c r="H16" s="24"/>
      <c r="I16" s="34"/>
    </row>
    <row r="17" ht="22.5" customHeight="1">
      <c r="A17" s="4" t="s">
        <v>479</v>
      </c>
      <c r="B17" s="5" t="str">
        <f t="shared" si="1"/>
        <v>Theatrum concionum sacr. topicum</v>
      </c>
      <c r="C17" s="4" t="s">
        <v>481</v>
      </c>
      <c r="D17" s="8" t="s">
        <v>484</v>
      </c>
      <c r="E17" s="4" t="s">
        <v>488</v>
      </c>
      <c r="F17" s="8" t="s">
        <v>45</v>
      </c>
      <c r="G17" s="4" t="s">
        <v>492</v>
      </c>
      <c r="H17" s="18"/>
      <c r="I17" s="28" t="s">
        <v>495</v>
      </c>
    </row>
    <row r="18" ht="22.5" customHeight="1">
      <c r="A18" s="4" t="s">
        <v>507</v>
      </c>
      <c r="B18" s="5" t="str">
        <f t="shared" si="1"/>
        <v>Seelen-Angst Christi</v>
      </c>
      <c r="C18" s="15" t="s">
        <v>510</v>
      </c>
      <c r="D18" s="8" t="s">
        <v>512</v>
      </c>
      <c r="E18" s="4" t="s">
        <v>466</v>
      </c>
      <c r="F18" s="8" t="s">
        <v>28</v>
      </c>
      <c r="G18" s="4" t="s">
        <v>518</v>
      </c>
      <c r="H18" s="18"/>
      <c r="I18" s="21" t="s">
        <v>522</v>
      </c>
    </row>
    <row r="19" ht="22.5" customHeight="1">
      <c r="A19" s="4" t="s">
        <v>533</v>
      </c>
      <c r="B19" s="5" t="str">
        <f t="shared" si="1"/>
        <v>Dichterische Versuchgabe</v>
      </c>
      <c r="C19" s="15" t="s">
        <v>537</v>
      </c>
      <c r="D19" s="8" t="s">
        <v>540</v>
      </c>
      <c r="E19" s="4" t="s">
        <v>543</v>
      </c>
      <c r="F19" s="8" t="s">
        <v>45</v>
      </c>
      <c r="G19" s="4" t="s">
        <v>545</v>
      </c>
      <c r="H19" s="18"/>
      <c r="I19" s="28" t="s">
        <v>547</v>
      </c>
    </row>
    <row r="20" ht="22.5" customHeight="1">
      <c r="A20" s="4" t="s">
        <v>556</v>
      </c>
      <c r="B20" s="5" t="str">
        <f t="shared" si="1"/>
        <v>Kriegs-Büchlein</v>
      </c>
      <c r="C20" s="4" t="s">
        <v>561</v>
      </c>
      <c r="D20" s="8" t="s">
        <v>563</v>
      </c>
      <c r="E20" s="4" t="s">
        <v>566</v>
      </c>
      <c r="F20" s="8" t="s">
        <v>28</v>
      </c>
      <c r="G20" s="4" t="s">
        <v>567</v>
      </c>
      <c r="H20" s="18"/>
      <c r="I20" s="28" t="s">
        <v>568</v>
      </c>
    </row>
    <row r="21" ht="22.5" customHeight="1">
      <c r="A21" s="4" t="s">
        <v>577</v>
      </c>
      <c r="B21" s="5" t="str">
        <f t="shared" si="1"/>
        <v>Außerleßne Psalmen Davids</v>
      </c>
      <c r="C21" s="15" t="s">
        <v>579</v>
      </c>
      <c r="D21" s="8" t="s">
        <v>37</v>
      </c>
      <c r="E21" s="4" t="s">
        <v>397</v>
      </c>
      <c r="F21" s="8" t="s">
        <v>28</v>
      </c>
      <c r="G21" s="4" t="s">
        <v>37</v>
      </c>
      <c r="H21" s="18"/>
      <c r="I21" s="16" t="s">
        <v>585</v>
      </c>
    </row>
    <row r="22" ht="22.5" customHeight="1">
      <c r="A22" s="4" t="s">
        <v>591</v>
      </c>
      <c r="B22" s="5" t="str">
        <f t="shared" si="1"/>
        <v>Sterbensspiegel/ das ist sonnenklare Vorstellung menschlicher Nichtigkeit durch alle Staend und Geschlechter</v>
      </c>
      <c r="C22" s="4" t="s">
        <v>592</v>
      </c>
      <c r="D22" s="8" t="s">
        <v>594</v>
      </c>
      <c r="E22" s="4" t="s">
        <v>216</v>
      </c>
      <c r="F22" s="8" t="s">
        <v>28</v>
      </c>
      <c r="G22" s="4" t="s">
        <v>37</v>
      </c>
      <c r="H22" s="18"/>
      <c r="I22" s="28" t="s">
        <v>603</v>
      </c>
    </row>
    <row r="23" ht="22.5" customHeight="1">
      <c r="A23" s="4" t="s">
        <v>610</v>
      </c>
      <c r="B23" s="5" t="str">
        <f t="shared" si="1"/>
        <v>Warhaffte/ vnd in Gottes Wort wol gegründte Widerlegung Des newlich im Truck außgegangnen ohn-Catholischen Gesprächs von Religion oder Glaubens sachen/ geneñt der Augenspiegel</v>
      </c>
      <c r="C23" s="15" t="s">
        <v>612</v>
      </c>
      <c r="D23" s="8" t="s">
        <v>614</v>
      </c>
      <c r="E23" s="4" t="s">
        <v>617</v>
      </c>
      <c r="F23" s="8" t="s">
        <v>28</v>
      </c>
      <c r="G23" s="4" t="s">
        <v>37</v>
      </c>
      <c r="H23" s="18"/>
      <c r="I23" s="28" t="s">
        <v>620</v>
      </c>
    </row>
    <row r="24" ht="22.5" customHeight="1">
      <c r="A24" s="4" t="s">
        <v>629</v>
      </c>
      <c r="B24" s="5" t="str">
        <f t="shared" si="1"/>
        <v>Augspiegels Wahrer Religion Erster Theil</v>
      </c>
      <c r="C24" s="15" t="s">
        <v>630</v>
      </c>
      <c r="D24" s="8" t="s">
        <v>632</v>
      </c>
      <c r="E24" s="4" t="s">
        <v>634</v>
      </c>
      <c r="F24" s="8" t="s">
        <v>638</v>
      </c>
      <c r="G24" s="4" t="s">
        <v>639</v>
      </c>
      <c r="H24" s="18"/>
      <c r="I24" s="28" t="s">
        <v>643</v>
      </c>
    </row>
    <row r="25" ht="22.5" customHeight="1">
      <c r="A25" s="4" t="s">
        <v>649</v>
      </c>
      <c r="B25" s="5" t="str">
        <f t="shared" si="1"/>
        <v>De kracht der Godsaligheyt</v>
      </c>
      <c r="C25" s="4" t="s">
        <v>650</v>
      </c>
      <c r="D25" s="8" t="s">
        <v>653</v>
      </c>
      <c r="E25" s="4" t="s">
        <v>654</v>
      </c>
      <c r="F25" s="8" t="s">
        <v>657</v>
      </c>
      <c r="G25" s="4" t="s">
        <v>660</v>
      </c>
      <c r="H25" s="18"/>
      <c r="I25" s="13"/>
    </row>
    <row r="26" ht="22.5" customHeight="1">
      <c r="A26" s="4" t="s">
        <v>666</v>
      </c>
      <c r="B26" s="5" t="str">
        <f t="shared" si="1"/>
        <v>Christlicher Wandersmann</v>
      </c>
      <c r="C26" s="4" t="s">
        <v>669</v>
      </c>
      <c r="D26" s="8" t="s">
        <v>671</v>
      </c>
      <c r="E26" s="4" t="s">
        <v>672</v>
      </c>
      <c r="F26" s="8" t="s">
        <v>28</v>
      </c>
      <c r="G26" s="4" t="s">
        <v>676</v>
      </c>
      <c r="H26" s="18"/>
      <c r="I26" s="21" t="s">
        <v>681</v>
      </c>
    </row>
    <row r="27" ht="22.5" customHeight="1">
      <c r="A27" s="4" t="s">
        <v>688</v>
      </c>
      <c r="B27" s="5" t="str">
        <f t="shared" si="1"/>
        <v>"Bernerischer Apothecker-Tax"</v>
      </c>
      <c r="C27" s="4" t="s">
        <v>690</v>
      </c>
      <c r="D27" s="8" t="s">
        <v>691</v>
      </c>
      <c r="E27" s="13"/>
      <c r="F27" s="9"/>
      <c r="G27" s="13"/>
      <c r="H27" s="18"/>
      <c r="I27" s="4" t="s">
        <v>694</v>
      </c>
    </row>
    <row r="28" ht="22.5" customHeight="1">
      <c r="A28" s="4" t="s">
        <v>697</v>
      </c>
      <c r="B28" s="5" t="str">
        <f t="shared" si="1"/>
        <v>Wolriechende geistliche Violblumen für eingründige Seelen</v>
      </c>
      <c r="C28" s="4" t="s">
        <v>700</v>
      </c>
      <c r="D28" s="8" t="s">
        <v>37</v>
      </c>
      <c r="E28" s="4" t="s">
        <v>702</v>
      </c>
      <c r="F28" s="8" t="s">
        <v>28</v>
      </c>
      <c r="G28" s="4" t="s">
        <v>37</v>
      </c>
      <c r="H28" s="18"/>
      <c r="I28" s="28" t="s">
        <v>706</v>
      </c>
    </row>
    <row r="29" ht="22.5" customHeight="1">
      <c r="A29" s="4" t="s">
        <v>710</v>
      </c>
      <c r="B29" s="5" t="str">
        <f t="shared" si="1"/>
        <v>Catechismus: das ist christlicher und kurtzer Underricht in Glaubens Sachen: sampt den Zertheilungen einer jeden Fraag und Zeügnussen der H. Schrifft</v>
      </c>
      <c r="C29" s="4" t="s">
        <v>713</v>
      </c>
      <c r="D29" s="8" t="s">
        <v>714</v>
      </c>
      <c r="E29" s="4" t="s">
        <v>634</v>
      </c>
      <c r="F29" s="8" t="s">
        <v>28</v>
      </c>
      <c r="G29" s="15" t="s">
        <v>37</v>
      </c>
      <c r="H29" s="18"/>
      <c r="I29" s="16" t="s">
        <v>720</v>
      </c>
    </row>
    <row r="30" ht="22.5" customHeight="1">
      <c r="A30" s="4" t="s">
        <v>729</v>
      </c>
      <c r="B30" s="5" t="str">
        <f t="shared" si="1"/>
        <v>Gaistliche und Weltliche Gedichte</v>
      </c>
      <c r="C30" s="4" t="s">
        <v>730</v>
      </c>
      <c r="D30" s="8" t="s">
        <v>731</v>
      </c>
      <c r="E30" s="4" t="s">
        <v>734</v>
      </c>
      <c r="F30" s="8" t="s">
        <v>657</v>
      </c>
      <c r="G30" s="4" t="s">
        <v>736</v>
      </c>
      <c r="H30" s="18"/>
      <c r="I30" s="16" t="s">
        <v>739</v>
      </c>
    </row>
    <row r="31" ht="22.5" customHeight="1">
      <c r="A31" s="4" t="s">
        <v>749</v>
      </c>
      <c r="B31" s="5" t="str">
        <f t="shared" si="1"/>
        <v/>
      </c>
      <c r="C31" s="4"/>
      <c r="D31" s="9"/>
      <c r="E31" s="13"/>
      <c r="F31" s="9"/>
      <c r="G31" s="13"/>
      <c r="H31" s="18"/>
      <c r="I31" s="13"/>
    </row>
    <row r="32" ht="22.5" customHeight="1">
      <c r="A32" s="4" t="s">
        <v>757</v>
      </c>
      <c r="B32" s="5" t="str">
        <f t="shared" si="1"/>
        <v/>
      </c>
      <c r="C32" s="4"/>
      <c r="D32" s="9"/>
      <c r="E32" s="13"/>
      <c r="F32" s="9"/>
      <c r="G32" s="13"/>
      <c r="H32" s="18"/>
      <c r="I32" s="13"/>
    </row>
    <row r="33" ht="22.5" customHeight="1">
      <c r="A33" s="4" t="s">
        <v>765</v>
      </c>
      <c r="B33" s="5" t="str">
        <f t="shared" si="1"/>
        <v/>
      </c>
      <c r="C33" s="4"/>
      <c r="D33" s="9"/>
      <c r="E33" s="13"/>
      <c r="F33" s="9"/>
      <c r="G33" s="13"/>
      <c r="H33" s="18"/>
      <c r="I33" s="13"/>
    </row>
    <row r="34" ht="22.5" customHeight="1">
      <c r="A34" s="4" t="s">
        <v>773</v>
      </c>
      <c r="B34" s="5" t="str">
        <f t="shared" si="1"/>
        <v/>
      </c>
      <c r="C34" s="4"/>
      <c r="D34" s="9"/>
      <c r="E34" s="13"/>
      <c r="F34" s="9"/>
      <c r="G34" s="13"/>
      <c r="H34" s="18"/>
      <c r="I34" s="13"/>
    </row>
    <row r="35" ht="22.5" customHeight="1">
      <c r="A35" s="4" t="s">
        <v>782</v>
      </c>
      <c r="B35" s="5" t="str">
        <f t="shared" si="1"/>
        <v/>
      </c>
      <c r="C35" s="4"/>
      <c r="D35" s="9"/>
      <c r="E35" s="13"/>
      <c r="F35" s="9"/>
      <c r="G35" s="13"/>
      <c r="H35" s="18"/>
      <c r="I35" s="13"/>
    </row>
    <row r="36" ht="22.5" customHeight="1">
      <c r="A36" s="4" t="s">
        <v>788</v>
      </c>
      <c r="B36" s="5" t="str">
        <f t="shared" si="1"/>
        <v/>
      </c>
      <c r="C36" s="4"/>
      <c r="D36" s="9"/>
      <c r="E36" s="13"/>
      <c r="F36" s="9"/>
      <c r="G36" s="13"/>
      <c r="H36" s="18"/>
      <c r="I36" s="13"/>
    </row>
    <row r="37" ht="22.5" customHeight="1">
      <c r="A37" s="4" t="s">
        <v>793</v>
      </c>
      <c r="B37" s="5" t="str">
        <f t="shared" si="1"/>
        <v/>
      </c>
      <c r="C37" s="4"/>
      <c r="D37" s="9"/>
      <c r="E37" s="13"/>
      <c r="F37" s="9"/>
      <c r="G37" s="13"/>
      <c r="H37" s="18"/>
      <c r="I37" s="13"/>
    </row>
    <row r="38" ht="22.5" customHeight="1">
      <c r="A38" s="4" t="s">
        <v>799</v>
      </c>
      <c r="B38" s="5" t="str">
        <f t="shared" si="1"/>
        <v/>
      </c>
      <c r="C38" s="4"/>
      <c r="D38" s="9"/>
      <c r="E38" s="13"/>
      <c r="F38" s="9"/>
      <c r="G38" s="13"/>
      <c r="H38" s="18"/>
      <c r="I38" s="13"/>
    </row>
    <row r="39" ht="22.5" customHeight="1">
      <c r="A39" s="4" t="s">
        <v>802</v>
      </c>
      <c r="B39" s="5" t="str">
        <f t="shared" si="1"/>
        <v/>
      </c>
      <c r="C39" s="4"/>
      <c r="D39" s="9"/>
      <c r="E39" s="13"/>
      <c r="F39" s="9"/>
      <c r="G39" s="13"/>
      <c r="H39" s="18"/>
      <c r="I39" s="13"/>
    </row>
    <row r="40" ht="22.5" customHeight="1">
      <c r="A40" s="4" t="s">
        <v>808</v>
      </c>
      <c r="B40" s="5" t="str">
        <f t="shared" si="1"/>
        <v/>
      </c>
      <c r="C40" s="4"/>
      <c r="D40" s="9"/>
      <c r="E40" s="13"/>
      <c r="F40" s="9"/>
      <c r="G40" s="13"/>
      <c r="H40" s="18"/>
      <c r="I40" s="13"/>
    </row>
  </sheetData>
  <dataValidations>
    <dataValidation type="list" allowBlank="1" sqref="H2:H40">
      <formula1>"Kategorie 1,Kategorie 2"</formula1>
    </dataValidation>
    <dataValidation allowBlank="1" showDropDown="1" sqref="A2:A40 C2:C40 E2:E40 G2:G40 I2:I40"/>
  </dataValidations>
  <hyperlinks>
    <hyperlink r:id="rId1" ref="I3"/>
    <hyperlink r:id="rId2" ref="I4"/>
    <hyperlink r:id="rId3" ref="I6"/>
    <hyperlink r:id="rId4" ref="I7"/>
    <hyperlink r:id="rId5" ref="I8"/>
    <hyperlink r:id="rId6" ref="I9"/>
    <hyperlink r:id="rId7" ref="I10"/>
    <hyperlink r:id="rId8" ref="I11"/>
    <hyperlink r:id="rId9" ref="I13"/>
    <hyperlink r:id="rId10" ref="I17"/>
    <hyperlink r:id="rId11" ref="I18"/>
    <hyperlink r:id="rId12" ref="I19"/>
    <hyperlink r:id="rId13" ref="I20"/>
    <hyperlink r:id="rId14" ref="I21"/>
    <hyperlink r:id="rId15" ref="I22"/>
    <hyperlink r:id="rId16" ref="I23"/>
    <hyperlink r:id="rId17" ref="I24"/>
    <hyperlink r:id="rId18" ref="I26"/>
    <hyperlink r:id="rId19" ref="I28"/>
    <hyperlink r:id="rId20" ref="I29"/>
    <hyperlink r:id="rId21" ref="I30"/>
  </hyperlinks>
  <drawing r:id="rId22"/>
  <tableParts count="1">
    <tablePart r:id="rId2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63"/>
    <col customWidth="1" min="2" max="2" width="27.63"/>
    <col customWidth="1" min="3" max="3" width="41.88"/>
    <col customWidth="1" min="4" max="5" width="23.25"/>
    <col customWidth="1" min="6" max="6" width="30.88"/>
  </cols>
  <sheetData>
    <row r="1" ht="22.5" customHeight="1">
      <c r="A1" s="1" t="s">
        <v>1</v>
      </c>
      <c r="B1" s="2" t="s">
        <v>4</v>
      </c>
      <c r="C1" s="1" t="s">
        <v>5</v>
      </c>
      <c r="D1" s="1" t="s">
        <v>12</v>
      </c>
      <c r="E1" s="1" t="s">
        <v>15</v>
      </c>
      <c r="F1" s="1" t="s">
        <v>16</v>
      </c>
    </row>
    <row r="2" ht="22.5" customHeight="1">
      <c r="A2" s="4" t="s">
        <v>21</v>
      </c>
      <c r="B2" s="5" t="str">
        <f t="shared" ref="B2:B34" si="1">CONCATENATE(C2)</f>
        <v>Rat Zürich</v>
      </c>
      <c r="C2" s="7" t="s">
        <v>27</v>
      </c>
      <c r="D2" s="9"/>
      <c r="E2" s="11" t="s">
        <v>29</v>
      </c>
      <c r="F2" s="13"/>
    </row>
    <row r="3" ht="22.5" customHeight="1">
      <c r="A3" s="4" t="s">
        <v>41</v>
      </c>
      <c r="B3" s="5" t="str">
        <f t="shared" si="1"/>
        <v>Fruchtbringende Gesellschaft</v>
      </c>
      <c r="C3" s="4" t="s">
        <v>46</v>
      </c>
      <c r="D3" s="8" t="s">
        <v>47</v>
      </c>
      <c r="E3" s="11" t="s">
        <v>48</v>
      </c>
      <c r="F3" s="4" t="s">
        <v>49</v>
      </c>
    </row>
    <row r="4" ht="22.5" customHeight="1">
      <c r="A4" s="4" t="s">
        <v>50</v>
      </c>
      <c r="B4" s="5" t="str">
        <f t="shared" si="1"/>
        <v>Deutschgesinnte Genossenschaft (Lilien-Zunft)</v>
      </c>
      <c r="C4" s="4" t="s">
        <v>53</v>
      </c>
      <c r="D4" s="8" t="s">
        <v>54</v>
      </c>
      <c r="E4" s="18"/>
      <c r="F4" s="13"/>
    </row>
    <row r="5" ht="22.5" customHeight="1">
      <c r="A5" s="4" t="s">
        <v>63</v>
      </c>
      <c r="B5" s="5" t="str">
        <f t="shared" si="1"/>
        <v>Collegium Parthenicum</v>
      </c>
      <c r="C5" s="15" t="s">
        <v>65</v>
      </c>
      <c r="D5" s="20"/>
      <c r="E5" s="18"/>
      <c r="F5" s="13"/>
    </row>
    <row r="6" ht="22.5" customHeight="1">
      <c r="A6" s="4" t="s">
        <v>76</v>
      </c>
      <c r="B6" s="5" t="str">
        <f t="shared" si="1"/>
        <v>Collegium Carolinum Zürich</v>
      </c>
      <c r="C6" s="4" t="s">
        <v>77</v>
      </c>
      <c r="D6" s="8" t="s">
        <v>78</v>
      </c>
      <c r="E6" s="18"/>
      <c r="F6" s="4" t="s">
        <v>79</v>
      </c>
    </row>
    <row r="7" ht="22.5" customHeight="1">
      <c r="A7" s="4" t="s">
        <v>82</v>
      </c>
      <c r="B7" s="5" t="str">
        <f t="shared" si="1"/>
        <v>Sanhedrin</v>
      </c>
      <c r="C7" s="4" t="s">
        <v>84</v>
      </c>
      <c r="D7" s="8" t="s">
        <v>87</v>
      </c>
      <c r="E7" s="18"/>
      <c r="F7" s="4" t="s">
        <v>90</v>
      </c>
    </row>
    <row r="8" ht="22.5" customHeight="1">
      <c r="A8" s="4" t="s">
        <v>95</v>
      </c>
      <c r="B8" s="5" t="str">
        <f t="shared" si="1"/>
        <v>Bürgerbibliothek Zürich</v>
      </c>
      <c r="C8" s="4" t="s">
        <v>96</v>
      </c>
      <c r="D8" s="8" t="s">
        <v>97</v>
      </c>
      <c r="E8" s="18"/>
      <c r="F8" s="4" t="s">
        <v>100</v>
      </c>
    </row>
    <row r="9" ht="22.5" customHeight="1">
      <c r="A9" s="4" t="s">
        <v>105</v>
      </c>
      <c r="B9" s="5" t="str">
        <f t="shared" si="1"/>
        <v>Grossmünster Zürich</v>
      </c>
      <c r="C9" s="4" t="s">
        <v>108</v>
      </c>
      <c r="D9" s="8" t="s">
        <v>110</v>
      </c>
      <c r="E9" s="18"/>
      <c r="F9" s="4" t="s">
        <v>112</v>
      </c>
    </row>
    <row r="10" ht="22.5" customHeight="1">
      <c r="A10" s="4" t="s">
        <v>118</v>
      </c>
      <c r="B10" s="5" t="str">
        <f t="shared" si="1"/>
        <v>Fraumünster Zürich</v>
      </c>
      <c r="C10" s="4" t="s">
        <v>119</v>
      </c>
      <c r="D10" s="8" t="s">
        <v>121</v>
      </c>
      <c r="E10" s="18"/>
      <c r="F10" s="4" t="s">
        <v>124</v>
      </c>
    </row>
    <row r="11" ht="22.5" customHeight="1">
      <c r="A11" s="4" t="s">
        <v>129</v>
      </c>
      <c r="B11" s="5" t="str">
        <f t="shared" si="1"/>
        <v>Philipps-Universität Marburg</v>
      </c>
      <c r="C11" s="4" t="s">
        <v>131</v>
      </c>
      <c r="D11" s="8" t="s">
        <v>132</v>
      </c>
      <c r="E11" s="18"/>
      <c r="F11" s="13"/>
    </row>
    <row r="12" ht="22.5" customHeight="1">
      <c r="A12" s="4" t="s">
        <v>136</v>
      </c>
      <c r="B12" s="5" t="str">
        <f t="shared" si="1"/>
        <v>Kartäuser</v>
      </c>
      <c r="C12" s="22" t="s">
        <v>138</v>
      </c>
      <c r="D12" s="23"/>
      <c r="E12" s="24"/>
      <c r="F12" s="22" t="s">
        <v>147</v>
      </c>
    </row>
    <row r="13" ht="22.5" customHeight="1">
      <c r="A13" s="4" t="s">
        <v>154</v>
      </c>
      <c r="B13" s="5" t="str">
        <f t="shared" si="1"/>
        <v>Collegium Alumnorum</v>
      </c>
      <c r="C13" s="4" t="s">
        <v>156</v>
      </c>
      <c r="D13" s="25">
        <v>1.15712505E9</v>
      </c>
      <c r="E13" s="18"/>
      <c r="F13" s="4" t="s">
        <v>157</v>
      </c>
    </row>
    <row r="14" ht="22.5" customHeight="1">
      <c r="A14" s="4" t="s">
        <v>161</v>
      </c>
      <c r="B14" s="5" t="str">
        <f t="shared" si="1"/>
        <v>Schützengesellschaft der Stadt Zürich</v>
      </c>
      <c r="C14" s="4" t="s">
        <v>164</v>
      </c>
      <c r="D14" s="8" t="s">
        <v>165</v>
      </c>
      <c r="E14" s="18"/>
      <c r="F14" s="13"/>
    </row>
    <row r="15" ht="22.5" customHeight="1">
      <c r="A15" s="4" t="s">
        <v>171</v>
      </c>
      <c r="B15" s="5" t="str">
        <f t="shared" si="1"/>
        <v>Predigerkirche Zürich</v>
      </c>
      <c r="C15" s="4" t="s">
        <v>176</v>
      </c>
      <c r="D15" s="8" t="s">
        <v>178</v>
      </c>
      <c r="E15" s="18"/>
      <c r="F15" s="13"/>
    </row>
    <row r="16" ht="22.5" customHeight="1">
      <c r="A16" s="4" t="s">
        <v>183</v>
      </c>
      <c r="B16" s="5" t="str">
        <f t="shared" si="1"/>
        <v>Elbschwanenorden</v>
      </c>
      <c r="C16" s="4" t="s">
        <v>187</v>
      </c>
      <c r="D16" s="27" t="s">
        <v>190</v>
      </c>
      <c r="E16" s="18"/>
      <c r="F16" s="13"/>
    </row>
    <row r="17" ht="22.5" customHeight="1">
      <c r="A17" s="4" t="s">
        <v>196</v>
      </c>
      <c r="B17" s="5" t="str">
        <f t="shared" si="1"/>
        <v/>
      </c>
      <c r="C17" s="13"/>
      <c r="D17" s="20"/>
      <c r="E17" s="18"/>
      <c r="F17" s="13"/>
    </row>
    <row r="18" ht="22.5" customHeight="1">
      <c r="A18" s="4" t="s">
        <v>205</v>
      </c>
      <c r="B18" s="5" t="str">
        <f t="shared" si="1"/>
        <v/>
      </c>
      <c r="C18" s="13"/>
      <c r="D18" s="20"/>
      <c r="E18" s="18"/>
      <c r="F18" s="13"/>
    </row>
    <row r="19" ht="22.5" customHeight="1">
      <c r="A19" s="4" t="s">
        <v>217</v>
      </c>
      <c r="B19" s="5" t="str">
        <f t="shared" si="1"/>
        <v/>
      </c>
      <c r="C19" s="13"/>
      <c r="D19" s="20"/>
      <c r="E19" s="18"/>
      <c r="F19" s="13"/>
    </row>
    <row r="20" ht="22.5" customHeight="1">
      <c r="A20" s="4" t="s">
        <v>228</v>
      </c>
      <c r="B20" s="5" t="str">
        <f t="shared" si="1"/>
        <v/>
      </c>
      <c r="C20" s="13"/>
      <c r="D20" s="20"/>
      <c r="E20" s="18"/>
      <c r="F20" s="13"/>
    </row>
    <row r="21" ht="22.5" customHeight="1">
      <c r="A21" s="4" t="s">
        <v>234</v>
      </c>
      <c r="B21" s="5" t="str">
        <f t="shared" si="1"/>
        <v/>
      </c>
      <c r="C21" s="13"/>
      <c r="D21" s="20"/>
      <c r="E21" s="18"/>
      <c r="F21" s="13"/>
    </row>
    <row r="22" ht="22.5" customHeight="1">
      <c r="A22" s="4" t="s">
        <v>249</v>
      </c>
      <c r="B22" s="5" t="str">
        <f t="shared" si="1"/>
        <v/>
      </c>
      <c r="C22" s="13"/>
      <c r="D22" s="20"/>
      <c r="E22" s="18"/>
      <c r="F22" s="13"/>
    </row>
    <row r="23" ht="22.5" customHeight="1">
      <c r="A23" s="4" t="s">
        <v>261</v>
      </c>
      <c r="B23" s="5" t="str">
        <f t="shared" si="1"/>
        <v/>
      </c>
      <c r="C23" s="13"/>
      <c r="D23" s="20"/>
      <c r="E23" s="18"/>
      <c r="F23" s="13"/>
    </row>
    <row r="24" ht="22.5" customHeight="1">
      <c r="A24" s="4" t="s">
        <v>271</v>
      </c>
      <c r="B24" s="5" t="str">
        <f t="shared" si="1"/>
        <v/>
      </c>
      <c r="C24" s="13"/>
      <c r="D24" s="20"/>
      <c r="E24" s="18"/>
      <c r="F24" s="13"/>
    </row>
    <row r="25" ht="22.5" customHeight="1">
      <c r="A25" s="4" t="s">
        <v>281</v>
      </c>
      <c r="B25" s="5" t="str">
        <f t="shared" si="1"/>
        <v/>
      </c>
      <c r="C25" s="13"/>
      <c r="D25" s="20"/>
      <c r="E25" s="18"/>
      <c r="F25" s="13"/>
    </row>
    <row r="26" ht="22.5" customHeight="1">
      <c r="A26" s="4" t="s">
        <v>295</v>
      </c>
      <c r="B26" s="5" t="str">
        <f t="shared" si="1"/>
        <v/>
      </c>
      <c r="C26" s="13"/>
      <c r="D26" s="20"/>
      <c r="E26" s="18"/>
      <c r="F26" s="13"/>
    </row>
    <row r="27" ht="22.5" customHeight="1">
      <c r="A27" s="4" t="s">
        <v>310</v>
      </c>
      <c r="B27" s="5" t="str">
        <f t="shared" si="1"/>
        <v/>
      </c>
      <c r="C27" s="13"/>
      <c r="D27" s="20"/>
      <c r="E27" s="18"/>
      <c r="F27" s="13"/>
    </row>
    <row r="28" ht="22.5" customHeight="1">
      <c r="A28" s="4" t="s">
        <v>324</v>
      </c>
      <c r="B28" s="5" t="str">
        <f t="shared" si="1"/>
        <v/>
      </c>
      <c r="C28" s="13"/>
      <c r="D28" s="20"/>
      <c r="E28" s="18"/>
      <c r="F28" s="13"/>
    </row>
    <row r="29" ht="22.5" customHeight="1">
      <c r="A29" s="4" t="s">
        <v>330</v>
      </c>
      <c r="B29" s="5" t="str">
        <f t="shared" si="1"/>
        <v/>
      </c>
      <c r="C29" s="13"/>
      <c r="D29" s="20"/>
      <c r="E29" s="18"/>
      <c r="F29" s="13"/>
    </row>
    <row r="30" ht="22.5" customHeight="1">
      <c r="A30" s="4" t="s">
        <v>337</v>
      </c>
      <c r="B30" s="5" t="str">
        <f t="shared" si="1"/>
        <v/>
      </c>
      <c r="C30" s="13"/>
      <c r="D30" s="20"/>
      <c r="E30" s="18"/>
      <c r="F30" s="13"/>
    </row>
    <row r="31" ht="22.5" customHeight="1">
      <c r="A31" s="4" t="s">
        <v>345</v>
      </c>
      <c r="B31" s="5" t="str">
        <f t="shared" si="1"/>
        <v/>
      </c>
      <c r="C31" s="13"/>
      <c r="D31" s="20"/>
      <c r="E31" s="18"/>
      <c r="F31" s="13"/>
    </row>
    <row r="32" ht="22.5" customHeight="1">
      <c r="A32" s="4" t="s">
        <v>353</v>
      </c>
      <c r="B32" s="5" t="str">
        <f t="shared" si="1"/>
        <v/>
      </c>
      <c r="C32" s="13"/>
      <c r="D32" s="20"/>
      <c r="E32" s="18"/>
      <c r="F32" s="13"/>
    </row>
    <row r="33" ht="22.5" customHeight="1">
      <c r="A33" s="4" t="s">
        <v>359</v>
      </c>
      <c r="B33" s="5" t="str">
        <f t="shared" si="1"/>
        <v/>
      </c>
      <c r="C33" s="13"/>
      <c r="D33" s="20"/>
      <c r="E33" s="18"/>
      <c r="F33" s="13"/>
    </row>
    <row r="34" ht="22.5" customHeight="1">
      <c r="A34" s="4" t="s">
        <v>366</v>
      </c>
      <c r="B34" s="5" t="str">
        <f t="shared" si="1"/>
        <v/>
      </c>
      <c r="C34" s="13"/>
      <c r="D34" s="20"/>
      <c r="E34" s="18"/>
      <c r="F34" s="13"/>
    </row>
  </sheetData>
  <dataValidations>
    <dataValidation allowBlank="1" showDropDown="1" sqref="A2:A34 C2:C34 F2:F34"/>
    <dataValidation type="list" allowBlank="1" sqref="E2:E34">
      <formula1>"Kategorie 1,Kategorie 2,Kategorie 3,Kategorie 4"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3" width="27.63"/>
    <col customWidth="1" min="4" max="4" width="20.13"/>
    <col customWidth="1" min="5" max="5" width="40.88"/>
    <col customWidth="1" min="6" max="6" width="20.13"/>
  </cols>
  <sheetData>
    <row r="1" ht="22.5" customHeight="1">
      <c r="A1" s="1" t="s">
        <v>415</v>
      </c>
      <c r="B1" s="2" t="s">
        <v>4</v>
      </c>
      <c r="C1" s="1" t="s">
        <v>420</v>
      </c>
      <c r="D1" s="1" t="s">
        <v>421</v>
      </c>
      <c r="E1" s="1" t="s">
        <v>423</v>
      </c>
      <c r="F1" s="1" t="s">
        <v>16</v>
      </c>
    </row>
    <row r="2" ht="22.5" customHeight="1">
      <c r="A2" s="4" t="s">
        <v>424</v>
      </c>
      <c r="B2" s="6" t="str">
        <f t="shared" ref="B2:B8" si="1">CONCATENATE(C2)</f>
        <v>Runs</v>
      </c>
      <c r="C2" s="4" t="s">
        <v>428</v>
      </c>
      <c r="D2" s="8" t="s">
        <v>430</v>
      </c>
      <c r="E2" s="36" t="s">
        <v>431</v>
      </c>
      <c r="F2" s="13"/>
    </row>
    <row r="3" ht="22.5" customHeight="1">
      <c r="A3" s="4" t="s">
        <v>444</v>
      </c>
      <c r="B3" s="6" t="str">
        <f t="shared" si="1"/>
        <v/>
      </c>
      <c r="C3" s="13"/>
      <c r="D3" s="20"/>
      <c r="E3" s="20"/>
      <c r="F3" s="13"/>
    </row>
    <row r="4" ht="22.5" customHeight="1">
      <c r="A4" s="4" t="s">
        <v>449</v>
      </c>
      <c r="B4" s="6" t="str">
        <f t="shared" si="1"/>
        <v/>
      </c>
      <c r="C4" s="13"/>
      <c r="D4" s="20"/>
      <c r="E4" s="20"/>
      <c r="F4" s="13"/>
    </row>
    <row r="5" ht="22.5" customHeight="1">
      <c r="A5" s="4" t="s">
        <v>452</v>
      </c>
      <c r="B5" s="6" t="str">
        <f t="shared" si="1"/>
        <v/>
      </c>
      <c r="C5" s="13"/>
      <c r="D5" s="20"/>
      <c r="E5" s="20"/>
      <c r="F5" s="13"/>
    </row>
    <row r="6" ht="22.5" customHeight="1">
      <c r="A6" s="4" t="s">
        <v>460</v>
      </c>
      <c r="B6" s="6" t="str">
        <f t="shared" si="1"/>
        <v/>
      </c>
      <c r="C6" s="13"/>
      <c r="D6" s="20"/>
      <c r="E6" s="20"/>
      <c r="F6" s="13"/>
    </row>
    <row r="7" ht="22.5" customHeight="1">
      <c r="A7" s="4" t="s">
        <v>468</v>
      </c>
      <c r="B7" s="6" t="str">
        <f t="shared" si="1"/>
        <v/>
      </c>
      <c r="C7" s="13"/>
      <c r="D7" s="20"/>
      <c r="E7" s="20"/>
      <c r="F7" s="13"/>
    </row>
    <row r="8" ht="22.5" customHeight="1">
      <c r="A8" s="4" t="s">
        <v>471</v>
      </c>
      <c r="B8" s="6" t="str">
        <f t="shared" si="1"/>
        <v/>
      </c>
      <c r="C8" s="13"/>
      <c r="D8" s="20"/>
      <c r="E8" s="20"/>
      <c r="F8" s="13"/>
    </row>
  </sheetData>
  <dataValidations>
    <dataValidation allowBlank="1" showDropDown="1" sqref="A2:A8 C2:C8 F2:F8"/>
  </dataValidations>
  <hyperlinks>
    <hyperlink r:id="rId1" location="!page/61141/mode/1up" ref="E2"/>
  </hyperlinks>
  <drawing r:id="rId2"/>
  <tableParts count="1">
    <tablePart r:id="rId4"/>
  </tableParts>
</worksheet>
</file>